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teriais" sheetId="2" state="visible" r:id="rId4"/>
    <sheet name="Criterios" sheetId="3" state="visible" r:id="rId5"/>
    <sheet name="Indices" sheetId="4" state="visible" r:id="rId6"/>
    <sheet name="Cenarios" sheetId="5" state="visible" r:id="rId7"/>
    <sheet name="Tecido" sheetId="6" state="visible" r:id="rId8"/>
  </sheets>
  <definedNames>
    <definedName function="false" hidden="true" localSheetId="1" name="_xlnm._FilterDatabase" vbProcedure="false">Materiais!$A$1:$O$283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<sst xmlns="http://schemas.openxmlformats.org/spreadsheetml/2006/main" count="3349" uniqueCount="365">
  <si>
    <t xml:space="preserve">TP2 — Base de dados de propriedades para seleção multicritério de biomateriais (v0.2 — critérios RM, esterilização, custo, fabricabilidade, galvânica)</t>
  </si>
  <si>
    <t xml:space="preserve">ESTADO: todos os valores são pontos de partida de manuais/revisões e estão marcados 'A verificar'.</t>
  </si>
  <si>
    <t xml:space="preserve">Antes de usar um valor no relatório ou no poster: abre a fonte, confirma o número, preenche DOI/URL e muda o estado para 'Verificado'.</t>
  </si>
  <si>
    <t xml:space="preserve">Se a fonte der outro valor, usa o da fonte e regista a página/tabela na coluna Notas.</t>
  </si>
  <si>
    <t xml:space="preserve">ALTERAÇÕES v0.3 (após revisão crítica)</t>
  </si>
  <si>
    <t xml:space="preserve">Densidade deixa de ser proxy de radiopacidade (nova escala de radiopacidade) · σy/E renomeado 'proxy material' · Nitinol fora do ranking · K_IC retirado do par articular · 'Resistência' retirada da matriz dentária (tração ≠ flexão) · alvos do scaffold passam a cenários · nova folha Cenarios</t>
  </si>
  <si>
    <t xml:space="preserve">Par articular e implante dentário ficam SEMIQUANTITATIVOS (ordinais &gt; 50 % do peso) — MCDM quantitativo só para haste, stent (balão) e scaffold.</t>
  </si>
  <si>
    <t xml:space="preserve">LEGENDA</t>
  </si>
  <si>
    <t xml:space="preserve">Texto azul = valor de entrada (editável) · Texto preto = fórmula · Fundo amarelo = decisão tua (pesos, alvos, η)</t>
  </si>
  <si>
    <t xml:space="preserve">Mín/Máx alimentam o Monte Carlo (distribuição uniforme ou triangular entre Mín e Máx). 'Típico' = ponto médio (fórmula).</t>
  </si>
  <si>
    <t xml:space="preserve">TIPOS DE CRITÉRIO (Petković et al., Appl Sci 2025;15:9198)</t>
  </si>
  <si>
    <t xml:space="preserve">Estrito = triagem passa/falha · Benefício = maior é melhor · Custo = menor é melhor · Alvo = mais próximo do valor-alvo é melhor</t>
  </si>
  <si>
    <t xml:space="preserve">RUBRICAS ORDINAIS (1-5) — justificar cada nota no relatório com uma referência</t>
  </si>
  <si>
    <t xml:space="preserve">Corrosão: 5 = camada passiva estável sem libertação relevante; 3 = suscetível a picadas/fendas in vivo; 1 = corrosão clinicamente problemática</t>
  </si>
  <si>
    <t xml:space="preserve">Segurança iónica/ALTR: 5 = sem contacto metal-metal; 4 = risco na junção cabeça-cone; 1 = libertação de iões Co/Cr com ALTR documentada</t>
  </si>
  <si>
    <t xml:space="preserve">Osteointegração: 5 = padrão-ouro com décadas de dados; 3 = dados clínicos a médio prazo; 1 = bioinerte com fraca aposição óssea</t>
  </si>
  <si>
    <t xml:space="preserve">Estética: 5 = cor de dente; 3 = neutro; 2 = sombra cinzenta possível</t>
  </si>
  <si>
    <t xml:space="preserve">Bioatividade: 5 = liga-se quimicamente ao osso; 4 = osteocondutor; 3 = compósito com fase bioativa; 1 = bioinerte</t>
  </si>
  <si>
    <t xml:space="preserve">Imprimibilidade 3D: 5 = extrusão direta fácil; 3 = possível com limitações; 2 = requer técnicas especiais (robocasting, liofilização)</t>
  </si>
  <si>
    <t xml:space="preserve">Compatibilidade com RM: 5 = sem artefacto/aquecimento relevante; 4 = MR-condicional, artefacto pequeno (Ti); 3 = artefacto moderado (CoCr, Pt); 2 = artefacto marcado (aço inox)</t>
  </si>
  <si>
    <t xml:space="preserve">Esterilização: 5 = aceita métodos padrão sem degradação; 4 = requer método específico sem perda de propriedades; 3 = método restrito com risco de degradação; 2 = degradação documentada</t>
  </si>
  <si>
    <t xml:space="preserve">Custo relativo de material e fabrico (NÃO é preço clínico; critério de CUSTO): 1 = matéria-prima e processo maduros, menor complexidade; 2 = processo estabelecido com maior exigência de controlo; 3 = liga/material especializado ou cadeia de fabrico exigente; 4 = material caro, processo complexo, revestimento ou controlo rigoroso; 5 = material crítico, arquitetura complexa ou processo pouco escalável</t>
  </si>
  <si>
    <t xml:space="preserve">Fabricabilidade: 5 = processos industriais maduros (incl. fabrico aditivo); 3 = possível com limitações; 2 = escala laboratorial</t>
  </si>
  <si>
    <t xml:space="preserve">Galvânica cabeça-cone: 5 = sem par metálico; 3 = CoCr em cone de Ti (fretting documentado); 2 = múltiplas interfaces metal-metal</t>
  </si>
  <si>
    <t xml:space="preserve">NOTA: índices ordinais só devem pesar ≤ 50 % do total de cada caso — o resto deve vir de propriedades medidas.</t>
  </si>
  <si>
    <t xml:space="preserve">CUIDADOS</t>
  </si>
  <si>
    <t xml:space="preserve">1) Propriedades de scaffolds dependem da porosidade: compara só valores com porosidades semelhantes, ou regista a porosidade.</t>
  </si>
  <si>
    <t xml:space="preserve">2) Cerâmicos: resistência à flexão ≠ resistência à tração. Assinala sempre qual é.</t>
  </si>
  <si>
    <t xml:space="preserve">3) Stents: 'Nitinol' é autoexpansível (outra classe) — decide se entra na comparação ou só na discussão.</t>
  </si>
  <si>
    <t xml:space="preserve">4) Cenários: A = só materiais clínicos; B = inclui investigação/bioabsorvíveis. Filtra pela coluna 'Estatuto'.</t>
  </si>
  <si>
    <t xml:space="preserve">Caso</t>
  </si>
  <si>
    <t xml:space="preserve">Componente</t>
  </si>
  <si>
    <t xml:space="preserve">Material</t>
  </si>
  <si>
    <t xml:space="preserve">Norma</t>
  </si>
  <si>
    <t xml:space="preserve">Classe</t>
  </si>
  <si>
    <t xml:space="preserve">Estatuto</t>
  </si>
  <si>
    <t xml:space="preserve">Propriedade</t>
  </si>
  <si>
    <t xml:space="preserve">Unidade</t>
  </si>
  <si>
    <t xml:space="preserve">Mín</t>
  </si>
  <si>
    <t xml:space="preserve">Máx</t>
  </si>
  <si>
    <t xml:space="preserve">Típico (fórmula)</t>
  </si>
  <si>
    <t xml:space="preserve">Referência sugerida</t>
  </si>
  <si>
    <t xml:space="preserve">DOI / URL (preencher)</t>
  </si>
  <si>
    <t xml:space="preserve">Estado</t>
  </si>
  <si>
    <t xml:space="preserve">Notas</t>
  </si>
  <si>
    <t xml:space="preserve">Prótese da anca</t>
  </si>
  <si>
    <t xml:space="preserve">Haste femoral</t>
  </si>
  <si>
    <t xml:space="preserve">Aço inox 316L</t>
  </si>
  <si>
    <t xml:space="preserve">ASTM F138</t>
  </si>
  <si>
    <t xml:space="preserve">Metal</t>
  </si>
  <si>
    <t xml:space="preserve">Clínico</t>
  </si>
  <si>
    <t xml:space="preserve">Módulo de Young</t>
  </si>
  <si>
    <t xml:space="preserve">GPa</t>
  </si>
  <si>
    <t xml:space="preserve">Niinomi M. Mater Sci Eng A 1998;243:231-236</t>
  </si>
  <si>
    <t xml:space="preserve">A verificar</t>
  </si>
  <si>
    <t xml:space="preserve">Valores dependem muito de recozido vs encruado</t>
  </si>
  <si>
    <t xml:space="preserve">Tensão de cedência</t>
  </si>
  <si>
    <t xml:space="preserve">MPa</t>
  </si>
  <si>
    <t xml:space="preserve">Resistência à tração</t>
  </si>
  <si>
    <t xml:space="preserve">Limite de fadiga (10^7 ciclos)</t>
  </si>
  <si>
    <t xml:space="preserve">Densidade</t>
  </si>
  <si>
    <t xml:space="preserve">g/cm³</t>
  </si>
  <si>
    <t xml:space="preserve">Resistência à corrosão (ordinal 1-5)</t>
  </si>
  <si>
    <t xml:space="preserve">—</t>
  </si>
  <si>
    <t xml:space="preserve">Escala ordinal definida no trabalho (rubrica em LEIA-ME) — justificar com literatura</t>
  </si>
  <si>
    <t xml:space="preserve">Co-Cr-Mo forjado</t>
  </si>
  <si>
    <t xml:space="preserve">ASTM F799/F1537</t>
  </si>
  <si>
    <t xml:space="preserve">Slides: F799 ~2x fadiga/cedência da F75</t>
  </si>
  <si>
    <t xml:space="preserve">Ti-6Al-4V ELI</t>
  </si>
  <si>
    <t xml:space="preserve">ASTM F136</t>
  </si>
  <si>
    <t xml:space="preserve">Ti cp grau 4</t>
  </si>
  <si>
    <t xml:space="preserve">ASTM F67</t>
  </si>
  <si>
    <t xml:space="preserve">Resistência limitada para haste de carga elevada</t>
  </si>
  <si>
    <t xml:space="preserve">Ti-13Nb-13Zr</t>
  </si>
  <si>
    <t xml:space="preserve">ASTM F1713</t>
  </si>
  <si>
    <t xml:space="preserve">Clínico (uso limitado)</t>
  </si>
  <si>
    <t xml:space="preserve">Geetha M et al. Prog Mater Sci 2009;54:397-425</t>
  </si>
  <si>
    <t xml:space="preserve">Liga β sem Al/V, módulo mais baixo</t>
  </si>
  <si>
    <t xml:space="preserve">Ti-35Nb-7Zr-5Ta (TNZT)</t>
  </si>
  <si>
    <t xml:space="preserve">Investigação</t>
  </si>
  <si>
    <t xml:space="preserve">Excluído no cenário 'só materiais clínicos'</t>
  </si>
  <si>
    <t xml:space="preserve">Par articular (cabeça/acetábulo)</t>
  </si>
  <si>
    <t xml:space="preserve">CoCrMo / UHMWPE convencional (MoP)</t>
  </si>
  <si>
    <t xml:space="preserve">Par tribológico</t>
  </si>
  <si>
    <t xml:space="preserve">Taxa de desgaste linear</t>
  </si>
  <si>
    <t xml:space="preserve">mm/ano</t>
  </si>
  <si>
    <t xml:space="preserve">Kurtz SM. UHMWPE Biomaterials Handbook, 3rd ed., 2016</t>
  </si>
  <si>
    <t xml:space="preserve">OBRIGATÓRIO indicar tipo de evidência: in vivo (radiográfico/RSA) vs simulador ISO 14242 — não misturar | Osteólise por partículas de PE; corrosão na junção cabeça-cone</t>
  </si>
  <si>
    <t xml:space="preserve">Dureza da cabeça</t>
  </si>
  <si>
    <t xml:space="preserve">HV</t>
  </si>
  <si>
    <t xml:space="preserve">Chevalier J. Biomaterials 2006;27:535-543 (zircónia/envelhecimento)</t>
  </si>
  <si>
    <t xml:space="preserve">Segurança iónica / risco ALTR (ordinal 1-5)</t>
  </si>
  <si>
    <t xml:space="preserve">CoCrMo / HXLPE (MoXLPE)</t>
  </si>
  <si>
    <t xml:space="preserve">OBRIGATÓRIO indicar tipo de evidência: in vivo (radiográfico/RSA) vs simulador ISO 14242 — não misturar | PE altamente reticulado; oxidação se radiação gama sem estabilização</t>
  </si>
  <si>
    <t xml:space="preserve">ZTA / HXLPE (CoXLPE)</t>
  </si>
  <si>
    <t xml:space="preserve">OBRIGATÓRIO indicar tipo de evidência: in vivo (radiográfico/RSA) vs simulador ISO 14242 — não misturar | Cerâmica na cabeça elimina corrosão na junção</t>
  </si>
  <si>
    <t xml:space="preserve">ZTA / ZTA (CoC)</t>
  </si>
  <si>
    <t xml:space="preserve">OBRIGATÓRIO indicar tipo de evidência: in vivo (radiográfico/RSA) vs simulador ISO 14242 — não misturar | Risco de fratura baixo mas não nulo; ruído (squeaking)</t>
  </si>
  <si>
    <t xml:space="preserve">CoCrMo / CoCrMo (MoM)</t>
  </si>
  <si>
    <t xml:space="preserve">Clínico (abandonado)</t>
  </si>
  <si>
    <t xml:space="preserve">OBRIGATÓRIO indicar tipo de evidência: in vivo (radiográfico/RSA) vs simulador ISO 14242 — não misturar | Iões Co/Cr, ALTR; recolha ASR 2010 — candidato a eliminar na triagem</t>
  </si>
  <si>
    <t xml:space="preserve">Implante dentário</t>
  </si>
  <si>
    <t xml:space="preserve">Corpo do implante</t>
  </si>
  <si>
    <t xml:space="preserve">Resistência mecânica (tração/flexão)</t>
  </si>
  <si>
    <t xml:space="preserve">Tenacidade à fratura (K_IC)</t>
  </si>
  <si>
    <t xml:space="preserve">MPa·m^0.5</t>
  </si>
  <si>
    <t xml:space="preserve">Estética (ordinal 1-5)</t>
  </si>
  <si>
    <t xml:space="preserve">Evidência clínica de osteointegração (ordinal 1-5)</t>
  </si>
  <si>
    <t xml:space="preserve">Ti-Zr (~15% Zr)</t>
  </si>
  <si>
    <t xml:space="preserve">Ficha técnica do fabricante (ex.: Straumann Roxolid) — confirmar</t>
  </si>
  <si>
    <t xml:space="preserve">Zircónia Y-TZP</t>
  </si>
  <si>
    <t xml:space="preserve">ISO 13356</t>
  </si>
  <si>
    <t xml:space="preserve">Cerâmico</t>
  </si>
  <si>
    <t xml:space="preserve">Cerâmicos: resistência à flexão, não tração</t>
  </si>
  <si>
    <t xml:space="preserve">Degradação a baixa temperatura (LTD) — ver Chevalier 2006</t>
  </si>
  <si>
    <t xml:space="preserve">PEEK</t>
  </si>
  <si>
    <t xml:space="preserve">ASTM F2026</t>
  </si>
  <si>
    <t xml:space="preserve">Polímero</t>
  </si>
  <si>
    <t xml:space="preserve">Ratner BD et al. Biomaterials Science, 4th ed., 2020</t>
  </si>
  <si>
    <t xml:space="preserve">Stent vascular</t>
  </si>
  <si>
    <t xml:space="preserve">Estrutura do stent</t>
  </si>
  <si>
    <t xml:space="preserve">Clínico (1.ª geração)</t>
  </si>
  <si>
    <t xml:space="preserve">Hanawa T. J Artif Organs 2009;12:73-79 (metais para stents)</t>
  </si>
  <si>
    <t xml:space="preserve">Contém Ni; struts espessos</t>
  </si>
  <si>
    <t xml:space="preserve">Alongamento na rotura</t>
  </si>
  <si>
    <t xml:space="preserve">%</t>
  </si>
  <si>
    <t xml:space="preserve">Espessura típica de strut</t>
  </si>
  <si>
    <t xml:space="preserve">µm</t>
  </si>
  <si>
    <t xml:space="preserve">Tempo de reabsorção</t>
  </si>
  <si>
    <t xml:space="preserve">meses</t>
  </si>
  <si>
    <t xml:space="preserve">Permanente — só entra no cenário B como 'não reabsorve'</t>
  </si>
  <si>
    <t xml:space="preserve">Co-Cr L605</t>
  </si>
  <si>
    <t xml:space="preserve">ASTM F90</t>
  </si>
  <si>
    <t xml:space="preserve">Slides: F90 (Co-Cr-W-Ni)</t>
  </si>
  <si>
    <t xml:space="preserve">Co-Ni-Cr-Mo MP35N</t>
  </si>
  <si>
    <t xml:space="preserve">ASTM F562</t>
  </si>
  <si>
    <t xml:space="preserve">Slides: F562</t>
  </si>
  <si>
    <t xml:space="preserve">Pt-Cr</t>
  </si>
  <si>
    <t xml:space="preserve">Alta radiopacidade</t>
  </si>
  <si>
    <t xml:space="preserve">Nitinol (autoexpansível)</t>
  </si>
  <si>
    <t xml:space="preserve">ASTM F2063</t>
  </si>
  <si>
    <t xml:space="preserve">Metal (superelástico)</t>
  </si>
  <si>
    <t xml:space="preserve">Excluído (autoexpansível — só discussão)</t>
  </si>
  <si>
    <t xml:space="preserve">Outra classe de dispositivo — 'tensão de cedência' = patamar superelástico</t>
  </si>
  <si>
    <t xml:space="preserve">Liga de Mg WE43 (bioabsorvível)</t>
  </si>
  <si>
    <t xml:space="preserve">Metal biodegradável</t>
  </si>
  <si>
    <t xml:space="preserve">Clínico (Magmaris)</t>
  </si>
  <si>
    <t xml:space="preserve">Witte F. Acta Biomater 2010;6:1680-1692 (Mg)</t>
  </si>
  <si>
    <t xml:space="preserve">Reabsorção ~12 meses (BIOSOLVE-II: Haude 2016)</t>
  </si>
  <si>
    <t xml:space="preserve">Haude M et al. Lancet 2016;387:31-39 (BIOSOLVE-II, Magmaris)</t>
  </si>
  <si>
    <t xml:space="preserve">PLLA (bioabsorvível)</t>
  </si>
  <si>
    <t xml:space="preserve">Polímero biodegradável</t>
  </si>
  <si>
    <t xml:space="preserve">Descontinuado (Absorb, 2017)</t>
  </si>
  <si>
    <t xml:space="preserve">Ensaios ABSORB / comunicação FDA 2017 (Absorb BVS)</t>
  </si>
  <si>
    <t xml:space="preserve">Trombose tardia do scaffold; struts ~157 µm</t>
  </si>
  <si>
    <t xml:space="preserve">Scaffold (regeneração óssea)</t>
  </si>
  <si>
    <t xml:space="preserve">Scaffold poroso</t>
  </si>
  <si>
    <t xml:space="preserve">PCL</t>
  </si>
  <si>
    <t xml:space="preserve">Clínico/investigação</t>
  </si>
  <si>
    <t xml:space="preserve">Resistência à compressão (scaffold)</t>
  </si>
  <si>
    <t xml:space="preserve">Woodruff MA, Hutmacher DW. Prog Polym Sci 2010;35:1217-1256 (PCL)</t>
  </si>
  <si>
    <t xml:space="preserve">Muito dependente da geometria/porosidade — registar a porosidade do estudo de onde vem o valor</t>
  </si>
  <si>
    <t xml:space="preserve">Módulo de compressão (scaffold)</t>
  </si>
  <si>
    <t xml:space="preserve">Porosidade</t>
  </si>
  <si>
    <t xml:space="preserve">Karageorgiou V, Kaplan D. Biomaterials 2005;26:5474-5491 (porosidade)</t>
  </si>
  <si>
    <t xml:space="preserve">Tempo de degradação</t>
  </si>
  <si>
    <t xml:space="preserve">Bioatividade (ordinal 1-5)</t>
  </si>
  <si>
    <t xml:space="preserve">Imprimibilidade 3D (ordinal 1-5)</t>
  </si>
  <si>
    <t xml:space="preserve">PLLA</t>
  </si>
  <si>
    <t xml:space="preserve">Rezwan K et al. Biomaterials 2006;27:3413-3431 (scaffolds ósseos)</t>
  </si>
  <si>
    <t xml:space="preserve">PLGA 50:50</t>
  </si>
  <si>
    <t xml:space="preserve">Hidroxiapatite (HA) porosa</t>
  </si>
  <si>
    <t xml:space="preserve">β-TCP poroso</t>
  </si>
  <si>
    <t xml:space="preserve">Vidro bioativo 45S5 poroso</t>
  </si>
  <si>
    <t xml:space="preserve">Vidro</t>
  </si>
  <si>
    <t xml:space="preserve">Hench LL. J Am Ceram Soc 1991;74:1487-1510 (vidros bioativos)</t>
  </si>
  <si>
    <t xml:space="preserve">Compósito PCL/β-TCP (impressão 3D)</t>
  </si>
  <si>
    <t xml:space="preserve">Compósito</t>
  </si>
  <si>
    <t xml:space="preserve">Quitosano/HA (liofilizado)</t>
  </si>
  <si>
    <t xml:space="preserve">Compósito natural</t>
  </si>
  <si>
    <t xml:space="preserve">Compatibilidade com RM (ordinal 1-5)</t>
  </si>
  <si>
    <t xml:space="preserve">Shellock FG / MRIsafety.com; ASTM F2182 (aquecimento) e F2119 (artefactos) — confirmar</t>
  </si>
  <si>
    <t xml:space="preserve">Artefacto marcado em RM</t>
  </si>
  <si>
    <t xml:space="preserve">Artefacto moderado</t>
  </si>
  <si>
    <t xml:space="preserve">Baixa suscetibilidade magnética; MR-condicional</t>
  </si>
  <si>
    <t xml:space="preserve">Idem Ti-6Al-4V</t>
  </si>
  <si>
    <t xml:space="preserve">Liga de Ti; comportamento esperado semelhante — confirmar</t>
  </si>
  <si>
    <t xml:space="preserve">Sem dados clínicos de RM — assumido por analogia</t>
  </si>
  <si>
    <t xml:space="preserve">Custo relativo de material e fabrico (1-5, 5 = mais caro)</t>
  </si>
  <si>
    <t xml:space="preserve">Índice relativo de material e fabrico (rubrica no LEIA-ME); não representa preço hospitalar</t>
  </si>
  <si>
    <t xml:space="preserve">Nb e Zr encarecem</t>
  </si>
  <si>
    <t xml:space="preserve">Ta e Nb; sem produção industrial</t>
  </si>
  <si>
    <t xml:space="preserve">Fabricabilidade (ordinal 1-5)</t>
  </si>
  <si>
    <t xml:space="preserve">Geetha 2009; Navarro 2008; literatura de fabrico aditivo — confirmar</t>
  </si>
  <si>
    <t xml:space="preserve">Forjamento e maquinagem maduros</t>
  </si>
  <si>
    <t xml:space="preserve">Difícil de maquinar; fundição/forjamento/AM possíveis</t>
  </si>
  <si>
    <t xml:space="preserve">Forjamento, maquinagem e fabrico aditivo (SLM/EBM) maduros</t>
  </si>
  <si>
    <t xml:space="preserve">Cadeia de fornecimento limitada</t>
  </si>
  <si>
    <t xml:space="preserve">Processamento em escala laboratorial</t>
  </si>
  <si>
    <t xml:space="preserve">Compatibilidade galvânica cabeça-cone (ordinal 1-5)</t>
  </si>
  <si>
    <t xml:space="preserve">Literatura sobre corrosão na junção cabeça-cone (trunnionosis) — confirmar</t>
  </si>
  <si>
    <t xml:space="preserve">Cabeça CoCr em cone de Ti: corrosão por fretting documentada</t>
  </si>
  <si>
    <t xml:space="preserve">Idem</t>
  </si>
  <si>
    <t xml:space="preserve">Cabeça cerâmica elimina o par galvânico</t>
  </si>
  <si>
    <t xml:space="preserve">Fretting no cone + desgaste metálico na articulação</t>
  </si>
  <si>
    <t xml:space="preserve">Compatibilidade com esterilização (ordinal 1-5)</t>
  </si>
  <si>
    <t xml:space="preserve">ISO 11137 (radiação) / ISO 11135 (EtO); Kurtz 2016 para UHMWPE — confirmar</t>
  </si>
  <si>
    <t xml:space="preserve">PE convencional esterilizado por gama ao ar → oxidação (histórico)</t>
  </si>
  <si>
    <t xml:space="preserve">HXLPE refundido/recozido ou com vitamina E</t>
  </si>
  <si>
    <t xml:space="preserve">Cerâmicos e metais: sem limitações</t>
  </si>
  <si>
    <t xml:space="preserve">Cabeça CoCr (a haste também conta — ver nota metodológica)</t>
  </si>
  <si>
    <t xml:space="preserve">Duas superfícies CoCr</t>
  </si>
  <si>
    <t xml:space="preserve">Artefacto local pequeno</t>
  </si>
  <si>
    <t xml:space="preserve">Sem artefacto relevante</t>
  </si>
  <si>
    <t xml:space="preserve">Liga proprietária</t>
  </si>
  <si>
    <t xml:space="preserve">CAD/CAM + sinterização</t>
  </si>
  <si>
    <t xml:space="preserve">Maquinabilidade / fabricabilidade (ordinal 1-5)</t>
  </si>
  <si>
    <t xml:space="preserve">Maquinagem CNC + tratamento de superfície (SLA) maduros</t>
  </si>
  <si>
    <t xml:space="preserve">Contração na sinterização; tratamento de superfície limitado</t>
  </si>
  <si>
    <t xml:space="preserve">Moldação/maquinagem fáceis; superfície bioinerte</t>
  </si>
  <si>
    <t xml:space="preserve">MR-condicional; artefacto maior</t>
  </si>
  <si>
    <t xml:space="preserve">MR-condicional</t>
  </si>
  <si>
    <t xml:space="preserve">Pt paramagnético</t>
  </si>
  <si>
    <t xml:space="preserve">Artefacto mínimo</t>
  </si>
  <si>
    <t xml:space="preserve">Polímero; marcadores metálicos nas extremidades</t>
  </si>
  <si>
    <t xml:space="preserve">Radiopacidade (ordinal 1-5)</t>
  </si>
  <si>
    <t xml:space="preserve">Radiopacidade depende sobretudo do número atómico efetivo e da espessura — confirmar com literatura de stents</t>
  </si>
  <si>
    <t xml:space="preserve">Visibilidade reduzida com struts finos</t>
  </si>
  <si>
    <t xml:space="preserve">W na liga aumenta a radiopacidade</t>
  </si>
  <si>
    <t xml:space="preserve">Pt: número atómico elevado</t>
  </si>
  <si>
    <t xml:space="preserve">Precisa de marcadores</t>
  </si>
  <si>
    <t xml:space="preserve">Precisa de marcadores radiopacos</t>
  </si>
  <si>
    <t xml:space="preserve">Marcadores de Pt nas extremidades</t>
  </si>
  <si>
    <t xml:space="preserve">Stent farmacológico → EtO (o fármaco limita)</t>
  </si>
  <si>
    <t xml:space="preserve">Sem revestimento de fármaco (periférico)</t>
  </si>
  <si>
    <t xml:space="preserve">Revestimento de fármaco + polímero</t>
  </si>
  <si>
    <t xml:space="preserve">Gama degrada o PLLA (cisão de cadeias) → EtO obrigatório</t>
  </si>
  <si>
    <t xml:space="preserve">Tecnologia de 1.ª geração</t>
  </si>
  <si>
    <t xml:space="preserve">Bioabsorvível</t>
  </si>
  <si>
    <t xml:space="preserve">Corte laser de tubo maduro</t>
  </si>
  <si>
    <t xml:space="preserve">Tratamento de memória de forma</t>
  </si>
  <si>
    <t xml:space="preserve">Controlo de degradação e revestimentos</t>
  </si>
  <si>
    <t xml:space="preserve">Struts espessos; processamento térmico sensível</t>
  </si>
  <si>
    <t xml:space="preserve">Fusão ~60 °C: sem autoclave; EtO/gama com cuidado</t>
  </si>
  <si>
    <t xml:space="preserve">Gama causa cisão de cadeias</t>
  </si>
  <si>
    <t xml:space="preserve">Muito sensível: altera a degradação</t>
  </si>
  <si>
    <t xml:space="preserve">Autoclave/calor seco</t>
  </si>
  <si>
    <t xml:space="preserve">Limitado pela fase PCL</t>
  </si>
  <si>
    <t xml:space="preserve">Polímero natural sensível ao calor</t>
  </si>
  <si>
    <t xml:space="preserve">Caso / componente</t>
  </si>
  <si>
    <t xml:space="preserve">Critério (propriedade)</t>
  </si>
  <si>
    <t xml:space="preserve">Tipo</t>
  </si>
  <si>
    <t xml:space="preserve">Alvo</t>
  </si>
  <si>
    <t xml:space="preserve">Peso proposto</t>
  </si>
  <si>
    <t xml:space="preserve">Justificação</t>
  </si>
  <si>
    <t xml:space="preserve">Prótese da anca | Haste femoral</t>
  </si>
  <si>
    <t xml:space="preserve">Biocompatibilidade (ISO 10993)</t>
  </si>
  <si>
    <t xml:space="preserve">Estrito</t>
  </si>
  <si>
    <t xml:space="preserve">Aprovado</t>
  </si>
  <si>
    <t xml:space="preserve">Triagem: elimina não biocompatíveis</t>
  </si>
  <si>
    <t xml:space="preserve">Aproximar do osso cortical → reduzir stress shielding</t>
  </si>
  <si>
    <t xml:space="preserve">Benefício</t>
  </si>
  <si>
    <t xml:space="preserve">Carga cíclica (~1-2 milhões de passos/ano)</t>
  </si>
  <si>
    <t xml:space="preserve">Evitar deformação plástica</t>
  </si>
  <si>
    <t xml:space="preserve">Libertação iónica</t>
  </si>
  <si>
    <t xml:space="preserve">Custo</t>
  </si>
  <si>
    <t xml:space="preserve">Critério secundário</t>
  </si>
  <si>
    <t xml:space="preserve">Doentes idosos precisam frequentemente de RM</t>
  </si>
  <si>
    <t xml:space="preserve">Perspetiva do hospital (enunciado)</t>
  </si>
  <si>
    <t xml:space="preserve">Inclui fabrico aditivo de hastes porosas</t>
  </si>
  <si>
    <t xml:space="preserve">Prótese da anca | Par articular</t>
  </si>
  <si>
    <t xml:space="preserve">≥ 2</t>
  </si>
  <si>
    <t xml:space="preserve">Triagem: elimina o MoM (segurança não é compensável)</t>
  </si>
  <si>
    <t xml:space="preserve">Risco de fratura da cabeça cerâmica</t>
  </si>
  <si>
    <t xml:space="preserve">Avaliação qualitativa</t>
  </si>
  <si>
    <t xml:space="preserve">K_IC retirado da matriz; discutido no texto</t>
  </si>
  <si>
    <t xml:space="preserve">SEMIQUANTITATIVO (ordinais &gt; 50 %). Partículas → osteólise</t>
  </si>
  <si>
    <t xml:space="preserve">Lição do MoM</t>
  </si>
  <si>
    <t xml:space="preserve">Riscos por terceiro corpo</t>
  </si>
  <si>
    <t xml:space="preserve">Corrosão na junção (trunnionosis)</t>
  </si>
  <si>
    <t xml:space="preserve">Oxidação do PE irradiado</t>
  </si>
  <si>
    <t xml:space="preserve">Resistência/fadiga do sistema implante-pilar (ISO 14801)</t>
  </si>
  <si>
    <t xml:space="preserve">Cumpre para a geometria</t>
  </si>
  <si>
    <t xml:space="preserve">Tração (metais) e flexão (cerâmicos) não são comparáveis</t>
  </si>
  <si>
    <t xml:space="preserve">SEMIQUANTITATIVO (ordinais &gt; 50 %). Osso mandibular ~10-20 GPa</t>
  </si>
  <si>
    <t xml:space="preserve">Fratura (relevante para Y-TZP)</t>
  </si>
  <si>
    <t xml:space="preserve">Função principal</t>
  </si>
  <si>
    <t xml:space="preserve">Sombra cinzenta em gengiva fina</t>
  </si>
  <si>
    <t xml:space="preserve">Tipo de expansão</t>
  </si>
  <si>
    <t xml:space="preserve">Expansível por balão</t>
  </si>
  <si>
    <t xml:space="preserve">Exclui Nitinol (autoexpansível) do ranking</t>
  </si>
  <si>
    <t xml:space="preserve">Índice material de recuo elástico σy/E (proxy) — ver folha Indices</t>
  </si>
  <si>
    <t xml:space="preserve">Proxy ao nível do material, não do dispositivo; menor = menos recuo</t>
  </si>
  <si>
    <t xml:space="preserve">Struts finos → menos reestenose/trombose</t>
  </si>
  <si>
    <t xml:space="preserve">Expansão sem fratura</t>
  </si>
  <si>
    <t xml:space="preserve">Resistência radial e fadiga pulsátil</t>
  </si>
  <si>
    <t xml:space="preserve">Rigidez radial com struts finos</t>
  </si>
  <si>
    <t xml:space="preserve">Visibilidade em fluoroscopia (substitui a densidade)</t>
  </si>
  <si>
    <t xml:space="preserve">Seguimento por RM/angio-RM</t>
  </si>
  <si>
    <t xml:space="preserve">Fármaco e polímero limitam o método</t>
  </si>
  <si>
    <t xml:space="preserve">Corte laser, memória de forma</t>
  </si>
  <si>
    <t xml:space="preserve">Tempo de reabsorção (só cenário B)</t>
  </si>
  <si>
    <t xml:space="preserve">Suporte ~3-6 meses; reabsorção completa desejável em ~1 ano</t>
  </si>
  <si>
    <t xml:space="preserve">Osso trabecular ~2-12 MPa — CENÁRIO de referência, ver folha Cenarios</t>
  </si>
  <si>
    <t xml:space="preserve">Osso trabecular ~50-500 MPa — CENÁRIO de referência, ver folha Cenarios</t>
  </si>
  <si>
    <t xml:space="preserve">Poros interligados &gt;100 µm; trabecular 50-90% — CENÁRIO de referência, ver folha Cenarios</t>
  </si>
  <si>
    <t xml:space="preserve">Acompanhar a regeneração óssea — CENÁRIO de referência, ver folha Cenarios</t>
  </si>
  <si>
    <t xml:space="preserve">Osteocondução/ligação ao osso</t>
  </si>
  <si>
    <t xml:space="preserve">Controlo da arquitetura porosa</t>
  </si>
  <si>
    <t xml:space="preserve">Polímeros de baixa Tf e hidrolisáveis</t>
  </si>
  <si>
    <t xml:space="preserve">Verificação: soma dos pesos por caso (deve ser 1; stent = 1 no cenário B, 0,85 no A)</t>
  </si>
  <si>
    <t xml:space="preserve">η — confiança do decisor nos pesos subjetivos (0 = só pesos objetivos; 1 = só subjetivos)</t>
  </si>
  <si>
    <t xml:space="preserve">STENT — índice de recuo elástico = σy / E (adimensional; menor = menos recuo)</t>
  </si>
  <si>
    <t xml:space="preserve">σy típico (MPa)</t>
  </si>
  <si>
    <t xml:space="preserve">E típico (GPa)</t>
  </si>
  <si>
    <t xml:space="preserve">σy/E (×10⁻³)</t>
  </si>
  <si>
    <t xml:space="preserve">HASTE — razão de rigidez implante/osso cortical (1 = igual ao osso; maior = mais stress shielding)</t>
  </si>
  <si>
    <t xml:space="preserve">E do osso cortical (GPa)</t>
  </si>
  <si>
    <t xml:space="preserve">E_implante / E_osso</t>
  </si>
  <si>
    <t xml:space="preserve">Cenário</t>
  </si>
  <si>
    <t xml:space="preserve">Descrição</t>
  </si>
  <si>
    <t xml:space="preserve">Casos</t>
  </si>
  <si>
    <t xml:space="preserve">Parâmetros</t>
  </si>
  <si>
    <t xml:space="preserve">A</t>
  </si>
  <si>
    <t xml:space="preserve">Só materiais em uso clínico</t>
  </si>
  <si>
    <t xml:space="preserve">Todos</t>
  </si>
  <si>
    <t xml:space="preserve">Filtro por Estatuto</t>
  </si>
  <si>
    <t xml:space="preserve">B</t>
  </si>
  <si>
    <t xml:space="preserve">Inclui investigação e bioabsorvíveis retirados</t>
  </si>
  <si>
    <t xml:space="preserve">Filtro por Estatuto (Nitinol sempre excluído do ranking)</t>
  </si>
  <si>
    <t xml:space="preserve">Q</t>
  </si>
  <si>
    <t xml:space="preserve">Só critérios quantitativos (sem ordinais)</t>
  </si>
  <si>
    <t xml:space="preserve">Haste, stent, scaffold</t>
  </si>
  <si>
    <t xml:space="preserve">Comparar vencedor com o cenário completo</t>
  </si>
  <si>
    <t xml:space="preserve">W</t>
  </si>
  <si>
    <t xml:space="preserve">Sensibilidade dos pesos</t>
  </si>
  <si>
    <t xml:space="preserve">Todos os quantitativos</t>
  </si>
  <si>
    <t xml:space="preserve">±20 % em cada peso, renormalizar; Dirichlet centrada nos pesos</t>
  </si>
  <si>
    <t xml:space="preserve">η</t>
  </si>
  <si>
    <t xml:space="preserve">Nível de confiança</t>
  </si>
  <si>
    <t xml:space="preserve">η = 0; 0,25; 0,5; 0,75; 1</t>
  </si>
  <si>
    <t xml:space="preserve">M</t>
  </si>
  <si>
    <t xml:space="preserve">Concordância entre métodos</t>
  </si>
  <si>
    <t xml:space="preserve">TOPSIS vs WASPAS vs VIKOR (Spearman)</t>
  </si>
  <si>
    <t xml:space="preserve">T-scaffold</t>
  </si>
  <si>
    <t xml:space="preserve">Sensibilidade dos alvos</t>
  </si>
  <si>
    <t xml:space="preserve">Scaffold</t>
  </si>
  <si>
    <t xml:space="preserve">Porosidade 60/70/80 %; módulo 100/250/500 MPa; compressão 2/7/12 MPa; degradação 6/9/12/18 meses</t>
  </si>
  <si>
    <t xml:space="preserve">T-haste</t>
  </si>
  <si>
    <t xml:space="preserve">Sensibilidade do alvo de E</t>
  </si>
  <si>
    <t xml:space="preserve">Haste</t>
  </si>
  <si>
    <t xml:space="preserve">Alvo 17 GPa vs critério de custo (menor E) com limiar mínimo de fadiga</t>
  </si>
  <si>
    <t xml:space="preserve">MC</t>
  </si>
  <si>
    <t xml:space="preserve">Incerteza das propriedades</t>
  </si>
  <si>
    <t xml:space="preserve">Uniforme em [mín, máx], 10 000 iterações, seed 42</t>
  </si>
  <si>
    <t xml:space="preserve">Níveis de validação: (1) verificação de código = reproduzir Petković et al. 2025; (2) robustez interna = cenários acima; (3) validação clínica = NÃO demonstrada (trabalho futuro).</t>
  </si>
  <si>
    <t xml:space="preserve">Tecido</t>
  </si>
  <si>
    <t xml:space="preserve">Osso cortical</t>
  </si>
  <si>
    <t xml:space="preserve">Longitudinal; anisotrópico (slide 10)</t>
  </si>
  <si>
    <t xml:space="preserve">Resistência à compressão</t>
  </si>
  <si>
    <t xml:space="preserve">Osso trabecular</t>
  </si>
  <si>
    <t xml:space="preserve">Varia muito com a localização e a densidade</t>
  </si>
  <si>
    <t xml:space="preserve">Osso cortical mandibular</t>
  </si>
  <si>
    <t xml:space="preserve">Referência para o implante dentário</t>
  </si>
  <si>
    <t xml:space="preserve">Fonte sugerida: Ratner et al. 2020; Navarro et al. 2008; Karageorgiou &amp; Kaplan 2005 — confirmar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</si>
</sst>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###"/>
    <numFmt numFmtId="166" formatCode="0.00"/>
    <numFmt numFmtId="167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2" t="s">
        <v>13</v>
      </c>
    </row>
    <row r="20" customFormat="false" ht="15" hidden="false" customHeight="false" outlineLevel="0" collapsed="false">
      <c r="A20" s="2" t="s">
        <v>14</v>
      </c>
    </row>
    <row r="21" customFormat="false" ht="15" hidden="false" customHeight="false" outlineLevel="0" collapsed="false">
      <c r="A21" s="2" t="s">
        <v>15</v>
      </c>
    </row>
    <row r="22" customFormat="false" ht="15" hidden="false" customHeight="false" outlineLevel="0" collapsed="false">
      <c r="A22" s="2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 t="s">
        <v>23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3" t="s">
        <v>24</v>
      </c>
    </row>
    <row r="32" customFormat="false" ht="15" hidden="false" customHeight="false" outlineLevel="0" collapsed="false">
      <c r="A32" s="2"/>
    </row>
    <row r="33" customFormat="false" ht="15" hidden="false" customHeight="false" outlineLevel="0" collapsed="false">
      <c r="A33" s="3" t="s">
        <v>25</v>
      </c>
    </row>
    <row r="34" customFormat="false" ht="15" hidden="false" customHeight="false" outlineLevel="0" collapsed="false">
      <c r="A34" s="2" t="s">
        <v>26</v>
      </c>
    </row>
    <row r="35" customFormat="false" ht="15" hidden="false" customHeight="false" outlineLevel="0" collapsed="false">
      <c r="A35" s="2" t="s">
        <v>27</v>
      </c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44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4"/>
    <col collapsed="false" customWidth="true" hidden="false" outlineLevel="0" max="12" min="12" style="0" width="52"/>
    <col collapsed="false" customWidth="true" hidden="false" outlineLevel="0" max="13" min="13" style="0" width="28"/>
    <col collapsed="false" customWidth="true" hidden="false" outlineLevel="0" max="14" min="14" style="0" width="13"/>
    <col collapsed="false" customWidth="true" hidden="false" outlineLevel="0" max="15" min="15" style="0" width="60"/>
  </cols>
  <sheetData>
    <row r="1" customFormat="false" ht="26.85" hidden="false" customHeight="false" outlineLevel="0" collapsed="false">
      <c r="A1" s="4" t="s">
        <v>30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40</v>
      </c>
      <c r="L1" s="4" t="s">
        <v>41</v>
      </c>
      <c r="M1" s="4" t="s">
        <v>42</v>
      </c>
      <c r="N1" s="4" t="s">
        <v>43</v>
      </c>
      <c r="O1" s="4" t="s">
        <v>44</v>
      </c>
    </row>
    <row r="2" customFormat="false" ht="15" hidden="false" customHeight="false" outlineLevel="0" collapsed="false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  <c r="I2" s="6" t="n">
        <v>190</v>
      </c>
      <c r="J2" s="6" t="n">
        <v>200</v>
      </c>
      <c r="K2" s="7" t="n">
        <f aca="false">IF(COUNT(I2:J2)=0,"",AVERAGE(I2:J2))</f>
        <v>195</v>
      </c>
      <c r="L2" s="5" t="s">
        <v>53</v>
      </c>
      <c r="M2" s="5"/>
      <c r="N2" s="8" t="s">
        <v>54</v>
      </c>
      <c r="O2" s="5" t="s">
        <v>55</v>
      </c>
    </row>
    <row r="3" customFormat="false" ht="15" hidden="false" customHeight="false" outlineLevel="0" collapsed="false">
      <c r="A3" s="5" t="s">
        <v>45</v>
      </c>
      <c r="B3" s="5" t="s">
        <v>46</v>
      </c>
      <c r="C3" s="5" t="s">
        <v>47</v>
      </c>
      <c r="D3" s="5" t="s">
        <v>48</v>
      </c>
      <c r="E3" s="5" t="s">
        <v>49</v>
      </c>
      <c r="F3" s="5" t="s">
        <v>50</v>
      </c>
      <c r="G3" s="5" t="s">
        <v>56</v>
      </c>
      <c r="H3" s="5" t="s">
        <v>57</v>
      </c>
      <c r="I3" s="6" t="n">
        <v>190</v>
      </c>
      <c r="J3" s="6" t="n">
        <v>690</v>
      </c>
      <c r="K3" s="7" t="n">
        <f aca="false">IF(COUNT(I3:J3)=0,"",AVERAGE(I3:J3))</f>
        <v>440</v>
      </c>
      <c r="L3" s="5" t="s">
        <v>53</v>
      </c>
      <c r="M3" s="5"/>
      <c r="N3" s="8" t="s">
        <v>54</v>
      </c>
      <c r="O3" s="5" t="s">
        <v>55</v>
      </c>
    </row>
    <row r="4" customFormat="false" ht="15" hidden="false" customHeight="false" outlineLevel="0" collapsed="false">
      <c r="A4" s="5" t="s">
        <v>45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58</v>
      </c>
      <c r="H4" s="5" t="s">
        <v>57</v>
      </c>
      <c r="I4" s="6" t="n">
        <v>490</v>
      </c>
      <c r="J4" s="6" t="n">
        <v>860</v>
      </c>
      <c r="K4" s="7" t="n">
        <f aca="false">IF(COUNT(I4:J4)=0,"",AVERAGE(I4:J4))</f>
        <v>675</v>
      </c>
      <c r="L4" s="5" t="s">
        <v>53</v>
      </c>
      <c r="M4" s="5"/>
      <c r="N4" s="8" t="s">
        <v>54</v>
      </c>
      <c r="O4" s="5" t="s">
        <v>55</v>
      </c>
    </row>
    <row r="5" customFormat="false" ht="15" hidden="false" customHeight="false" outlineLevel="0" collapsed="false">
      <c r="A5" s="5" t="s">
        <v>45</v>
      </c>
      <c r="B5" s="5" t="s">
        <v>46</v>
      </c>
      <c r="C5" s="5" t="s">
        <v>47</v>
      </c>
      <c r="D5" s="5" t="s">
        <v>48</v>
      </c>
      <c r="E5" s="5" t="s">
        <v>49</v>
      </c>
      <c r="F5" s="5" t="s">
        <v>50</v>
      </c>
      <c r="G5" s="5" t="s">
        <v>59</v>
      </c>
      <c r="H5" s="5" t="s">
        <v>57</v>
      </c>
      <c r="I5" s="6" t="n">
        <v>180</v>
      </c>
      <c r="J5" s="6" t="n">
        <v>380</v>
      </c>
      <c r="K5" s="7" t="n">
        <f aca="false">IF(COUNT(I5:J5)=0,"",AVERAGE(I5:J5))</f>
        <v>280</v>
      </c>
      <c r="L5" s="5" t="s">
        <v>53</v>
      </c>
      <c r="M5" s="5"/>
      <c r="N5" s="8" t="s">
        <v>54</v>
      </c>
      <c r="O5" s="5" t="s">
        <v>55</v>
      </c>
    </row>
    <row r="6" customFormat="false" ht="15" hidden="false" customHeight="false" outlineLevel="0" collapsed="false">
      <c r="A6" s="5" t="s">
        <v>45</v>
      </c>
      <c r="B6" s="5" t="s">
        <v>46</v>
      </c>
      <c r="C6" s="5" t="s">
        <v>47</v>
      </c>
      <c r="D6" s="5" t="s">
        <v>48</v>
      </c>
      <c r="E6" s="5" t="s">
        <v>49</v>
      </c>
      <c r="F6" s="5" t="s">
        <v>50</v>
      </c>
      <c r="G6" s="5" t="s">
        <v>60</v>
      </c>
      <c r="H6" s="5" t="s">
        <v>61</v>
      </c>
      <c r="I6" s="6" t="n">
        <v>7.9</v>
      </c>
      <c r="J6" s="6" t="n">
        <v>8</v>
      </c>
      <c r="K6" s="7" t="n">
        <f aca="false">IF(COUNT(I6:J6)=0,"",AVERAGE(I6:J6))</f>
        <v>7.95</v>
      </c>
      <c r="L6" s="5" t="s">
        <v>53</v>
      </c>
      <c r="M6" s="5"/>
      <c r="N6" s="8" t="s">
        <v>54</v>
      </c>
      <c r="O6" s="5" t="s">
        <v>55</v>
      </c>
    </row>
    <row r="7" customFormat="false" ht="15" hidden="false" customHeight="false" outlineLevel="0" collapsed="false">
      <c r="A7" s="5" t="s">
        <v>45</v>
      </c>
      <c r="B7" s="5" t="s">
        <v>46</v>
      </c>
      <c r="C7" s="5" t="s">
        <v>47</v>
      </c>
      <c r="D7" s="5" t="s">
        <v>48</v>
      </c>
      <c r="E7" s="5" t="s">
        <v>49</v>
      </c>
      <c r="F7" s="5" t="s">
        <v>50</v>
      </c>
      <c r="G7" s="5" t="s">
        <v>62</v>
      </c>
      <c r="H7" s="5" t="s">
        <v>63</v>
      </c>
      <c r="I7" s="6" t="n">
        <v>3</v>
      </c>
      <c r="J7" s="6" t="n">
        <v>3</v>
      </c>
      <c r="K7" s="7" t="n">
        <f aca="false">IF(COUNT(I7:J7)=0,"",AVERAGE(I7:J7))</f>
        <v>3</v>
      </c>
      <c r="L7" s="5" t="s">
        <v>64</v>
      </c>
      <c r="M7" s="5"/>
      <c r="N7" s="8" t="s">
        <v>54</v>
      </c>
      <c r="O7" s="5" t="s">
        <v>55</v>
      </c>
    </row>
    <row r="8" customFormat="false" ht="15" hidden="false" customHeight="false" outlineLevel="0" collapsed="false">
      <c r="A8" s="5" t="s">
        <v>45</v>
      </c>
      <c r="B8" s="5" t="s">
        <v>46</v>
      </c>
      <c r="C8" s="5" t="s">
        <v>65</v>
      </c>
      <c r="D8" s="5" t="s">
        <v>66</v>
      </c>
      <c r="E8" s="5" t="s">
        <v>49</v>
      </c>
      <c r="F8" s="5" t="s">
        <v>50</v>
      </c>
      <c r="G8" s="5" t="s">
        <v>51</v>
      </c>
      <c r="H8" s="5" t="s">
        <v>52</v>
      </c>
      <c r="I8" s="6" t="n">
        <v>210</v>
      </c>
      <c r="J8" s="6" t="n">
        <v>240</v>
      </c>
      <c r="K8" s="7" t="n">
        <f aca="false">IF(COUNT(I8:J8)=0,"",AVERAGE(I8:J8))</f>
        <v>225</v>
      </c>
      <c r="L8" s="5" t="s">
        <v>53</v>
      </c>
      <c r="M8" s="5"/>
      <c r="N8" s="8" t="s">
        <v>54</v>
      </c>
      <c r="O8" s="5" t="s">
        <v>67</v>
      </c>
    </row>
    <row r="9" customFormat="false" ht="15" hidden="false" customHeight="false" outlineLevel="0" collapsed="false">
      <c r="A9" s="5" t="s">
        <v>45</v>
      </c>
      <c r="B9" s="5" t="s">
        <v>46</v>
      </c>
      <c r="C9" s="5" t="s">
        <v>65</v>
      </c>
      <c r="D9" s="5" t="s">
        <v>66</v>
      </c>
      <c r="E9" s="5" t="s">
        <v>49</v>
      </c>
      <c r="F9" s="5" t="s">
        <v>50</v>
      </c>
      <c r="G9" s="5" t="s">
        <v>56</v>
      </c>
      <c r="H9" s="5" t="s">
        <v>57</v>
      </c>
      <c r="I9" s="6" t="n">
        <v>700</v>
      </c>
      <c r="J9" s="6" t="n">
        <v>1000</v>
      </c>
      <c r="K9" s="7" t="n">
        <f aca="false">IF(COUNT(I9:J9)=0,"",AVERAGE(I9:J9))</f>
        <v>850</v>
      </c>
      <c r="L9" s="5" t="s">
        <v>53</v>
      </c>
      <c r="M9" s="5"/>
      <c r="N9" s="8" t="s">
        <v>54</v>
      </c>
      <c r="O9" s="5" t="s">
        <v>67</v>
      </c>
    </row>
    <row r="10" customFormat="false" ht="15" hidden="false" customHeight="false" outlineLevel="0" collapsed="false">
      <c r="A10" s="5" t="s">
        <v>45</v>
      </c>
      <c r="B10" s="5" t="s">
        <v>46</v>
      </c>
      <c r="C10" s="5" t="s">
        <v>65</v>
      </c>
      <c r="D10" s="5" t="s">
        <v>66</v>
      </c>
      <c r="E10" s="5" t="s">
        <v>49</v>
      </c>
      <c r="F10" s="5" t="s">
        <v>50</v>
      </c>
      <c r="G10" s="5" t="s">
        <v>58</v>
      </c>
      <c r="H10" s="5" t="s">
        <v>57</v>
      </c>
      <c r="I10" s="6" t="n">
        <v>1000</v>
      </c>
      <c r="J10" s="6" t="n">
        <v>1300</v>
      </c>
      <c r="K10" s="7" t="n">
        <f aca="false">IF(COUNT(I10:J10)=0,"",AVERAGE(I10:J10))</f>
        <v>1150</v>
      </c>
      <c r="L10" s="5" t="s">
        <v>53</v>
      </c>
      <c r="M10" s="5"/>
      <c r="N10" s="8" t="s">
        <v>54</v>
      </c>
      <c r="O10" s="5" t="s">
        <v>67</v>
      </c>
    </row>
    <row r="11" customFormat="false" ht="15" hidden="false" customHeight="false" outlineLevel="0" collapsed="false">
      <c r="A11" s="5" t="s">
        <v>45</v>
      </c>
      <c r="B11" s="5" t="s">
        <v>46</v>
      </c>
      <c r="C11" s="5" t="s">
        <v>65</v>
      </c>
      <c r="D11" s="5" t="s">
        <v>66</v>
      </c>
      <c r="E11" s="5" t="s">
        <v>49</v>
      </c>
      <c r="F11" s="5" t="s">
        <v>50</v>
      </c>
      <c r="G11" s="5" t="s">
        <v>59</v>
      </c>
      <c r="H11" s="5" t="s">
        <v>57</v>
      </c>
      <c r="I11" s="6" t="n">
        <v>600</v>
      </c>
      <c r="J11" s="6" t="n">
        <v>900</v>
      </c>
      <c r="K11" s="7" t="n">
        <f aca="false">IF(COUNT(I11:J11)=0,"",AVERAGE(I11:J11))</f>
        <v>750</v>
      </c>
      <c r="L11" s="5" t="s">
        <v>53</v>
      </c>
      <c r="M11" s="5"/>
      <c r="N11" s="8" t="s">
        <v>54</v>
      </c>
      <c r="O11" s="5" t="s">
        <v>67</v>
      </c>
    </row>
    <row r="12" customFormat="false" ht="15" hidden="false" customHeight="false" outlineLevel="0" collapsed="false">
      <c r="A12" s="5" t="s">
        <v>45</v>
      </c>
      <c r="B12" s="5" t="s">
        <v>46</v>
      </c>
      <c r="C12" s="5" t="s">
        <v>65</v>
      </c>
      <c r="D12" s="5" t="s">
        <v>66</v>
      </c>
      <c r="E12" s="5" t="s">
        <v>49</v>
      </c>
      <c r="F12" s="5" t="s">
        <v>50</v>
      </c>
      <c r="G12" s="5" t="s">
        <v>60</v>
      </c>
      <c r="H12" s="5" t="s">
        <v>61</v>
      </c>
      <c r="I12" s="6" t="n">
        <v>8.3</v>
      </c>
      <c r="J12" s="6" t="n">
        <v>8.5</v>
      </c>
      <c r="K12" s="7" t="n">
        <f aca="false">IF(COUNT(I12:J12)=0,"",AVERAGE(I12:J12))</f>
        <v>8.4</v>
      </c>
      <c r="L12" s="5" t="s">
        <v>53</v>
      </c>
      <c r="M12" s="5"/>
      <c r="N12" s="8" t="s">
        <v>54</v>
      </c>
      <c r="O12" s="5" t="s">
        <v>67</v>
      </c>
    </row>
    <row r="13" customFormat="false" ht="15" hidden="false" customHeight="false" outlineLevel="0" collapsed="false">
      <c r="A13" s="5" t="s">
        <v>45</v>
      </c>
      <c r="B13" s="5" t="s">
        <v>46</v>
      </c>
      <c r="C13" s="5" t="s">
        <v>65</v>
      </c>
      <c r="D13" s="5" t="s">
        <v>66</v>
      </c>
      <c r="E13" s="5" t="s">
        <v>49</v>
      </c>
      <c r="F13" s="5" t="s">
        <v>50</v>
      </c>
      <c r="G13" s="5" t="s">
        <v>62</v>
      </c>
      <c r="H13" s="5" t="s">
        <v>63</v>
      </c>
      <c r="I13" s="6" t="n">
        <v>4</v>
      </c>
      <c r="J13" s="6" t="n">
        <v>4</v>
      </c>
      <c r="K13" s="7" t="n">
        <f aca="false">IF(COUNT(I13:J13)=0,"",AVERAGE(I13:J13))</f>
        <v>4</v>
      </c>
      <c r="L13" s="5" t="s">
        <v>64</v>
      </c>
      <c r="M13" s="5"/>
      <c r="N13" s="8" t="s">
        <v>54</v>
      </c>
      <c r="O13" s="5" t="s">
        <v>67</v>
      </c>
    </row>
    <row r="14" customFormat="false" ht="15" hidden="false" customHeight="false" outlineLevel="0" collapsed="false">
      <c r="A14" s="5" t="s">
        <v>45</v>
      </c>
      <c r="B14" s="5" t="s">
        <v>46</v>
      </c>
      <c r="C14" s="5" t="s">
        <v>68</v>
      </c>
      <c r="D14" s="5" t="s">
        <v>69</v>
      </c>
      <c r="E14" s="5" t="s">
        <v>49</v>
      </c>
      <c r="F14" s="5" t="s">
        <v>50</v>
      </c>
      <c r="G14" s="5" t="s">
        <v>51</v>
      </c>
      <c r="H14" s="5" t="s">
        <v>52</v>
      </c>
      <c r="I14" s="6" t="n">
        <v>110</v>
      </c>
      <c r="J14" s="6" t="n">
        <v>114</v>
      </c>
      <c r="K14" s="7" t="n">
        <f aca="false">IF(COUNT(I14:J14)=0,"",AVERAGE(I14:J14))</f>
        <v>112</v>
      </c>
      <c r="L14" s="5" t="s">
        <v>53</v>
      </c>
      <c r="M14" s="5"/>
      <c r="N14" s="8" t="s">
        <v>54</v>
      </c>
      <c r="O14" s="5"/>
    </row>
    <row r="15" customFormat="false" ht="15" hidden="false" customHeight="false" outlineLevel="0" collapsed="false">
      <c r="A15" s="5" t="s">
        <v>45</v>
      </c>
      <c r="B15" s="5" t="s">
        <v>46</v>
      </c>
      <c r="C15" s="5" t="s">
        <v>68</v>
      </c>
      <c r="D15" s="5" t="s">
        <v>69</v>
      </c>
      <c r="E15" s="5" t="s">
        <v>49</v>
      </c>
      <c r="F15" s="5" t="s">
        <v>50</v>
      </c>
      <c r="G15" s="5" t="s">
        <v>56</v>
      </c>
      <c r="H15" s="5" t="s">
        <v>57</v>
      </c>
      <c r="I15" s="6" t="n">
        <v>795</v>
      </c>
      <c r="J15" s="6" t="n">
        <v>875</v>
      </c>
      <c r="K15" s="7" t="n">
        <f aca="false">IF(COUNT(I15:J15)=0,"",AVERAGE(I15:J15))</f>
        <v>835</v>
      </c>
      <c r="L15" s="5" t="s">
        <v>53</v>
      </c>
      <c r="M15" s="5"/>
      <c r="N15" s="8" t="s">
        <v>54</v>
      </c>
      <c r="O15" s="5"/>
    </row>
    <row r="16" customFormat="false" ht="15" hidden="false" customHeight="false" outlineLevel="0" collapsed="false">
      <c r="A16" s="5" t="s">
        <v>45</v>
      </c>
      <c r="B16" s="5" t="s">
        <v>46</v>
      </c>
      <c r="C16" s="5" t="s">
        <v>68</v>
      </c>
      <c r="D16" s="5" t="s">
        <v>69</v>
      </c>
      <c r="E16" s="5" t="s">
        <v>49</v>
      </c>
      <c r="F16" s="5" t="s">
        <v>50</v>
      </c>
      <c r="G16" s="5" t="s">
        <v>58</v>
      </c>
      <c r="H16" s="5" t="s">
        <v>57</v>
      </c>
      <c r="I16" s="6" t="n">
        <v>860</v>
      </c>
      <c r="J16" s="6" t="n">
        <v>965</v>
      </c>
      <c r="K16" s="7" t="n">
        <f aca="false">IF(COUNT(I16:J16)=0,"",AVERAGE(I16:J16))</f>
        <v>912.5</v>
      </c>
      <c r="L16" s="5" t="s">
        <v>53</v>
      </c>
      <c r="M16" s="5"/>
      <c r="N16" s="8" t="s">
        <v>54</v>
      </c>
      <c r="O16" s="5"/>
    </row>
    <row r="17" customFormat="false" ht="15" hidden="false" customHeight="false" outlineLevel="0" collapsed="false">
      <c r="A17" s="5" t="s">
        <v>45</v>
      </c>
      <c r="B17" s="5" t="s">
        <v>46</v>
      </c>
      <c r="C17" s="5" t="s">
        <v>68</v>
      </c>
      <c r="D17" s="5" t="s">
        <v>69</v>
      </c>
      <c r="E17" s="5" t="s">
        <v>49</v>
      </c>
      <c r="F17" s="5" t="s">
        <v>50</v>
      </c>
      <c r="G17" s="5" t="s">
        <v>59</v>
      </c>
      <c r="H17" s="5" t="s">
        <v>57</v>
      </c>
      <c r="I17" s="6" t="n">
        <v>500</v>
      </c>
      <c r="J17" s="6" t="n">
        <v>650</v>
      </c>
      <c r="K17" s="7" t="n">
        <f aca="false">IF(COUNT(I17:J17)=0,"",AVERAGE(I17:J17))</f>
        <v>575</v>
      </c>
      <c r="L17" s="5" t="s">
        <v>53</v>
      </c>
      <c r="M17" s="5"/>
      <c r="N17" s="8" t="s">
        <v>54</v>
      </c>
      <c r="O17" s="5"/>
    </row>
    <row r="18" customFormat="false" ht="15" hidden="false" customHeight="false" outlineLevel="0" collapsed="false">
      <c r="A18" s="5" t="s">
        <v>45</v>
      </c>
      <c r="B18" s="5" t="s">
        <v>46</v>
      </c>
      <c r="C18" s="5" t="s">
        <v>68</v>
      </c>
      <c r="D18" s="5" t="s">
        <v>69</v>
      </c>
      <c r="E18" s="5" t="s">
        <v>49</v>
      </c>
      <c r="F18" s="5" t="s">
        <v>50</v>
      </c>
      <c r="G18" s="5" t="s">
        <v>60</v>
      </c>
      <c r="H18" s="5" t="s">
        <v>61</v>
      </c>
      <c r="I18" s="6" t="n">
        <v>4.43</v>
      </c>
      <c r="J18" s="6" t="n">
        <v>4.43</v>
      </c>
      <c r="K18" s="7" t="n">
        <f aca="false">IF(COUNT(I18:J18)=0,"",AVERAGE(I18:J18))</f>
        <v>4.43</v>
      </c>
      <c r="L18" s="5" t="s">
        <v>53</v>
      </c>
      <c r="M18" s="5"/>
      <c r="N18" s="8" t="s">
        <v>54</v>
      </c>
      <c r="O18" s="5"/>
    </row>
    <row r="19" customFormat="false" ht="15" hidden="false" customHeight="false" outlineLevel="0" collapsed="false">
      <c r="A19" s="5" t="s">
        <v>45</v>
      </c>
      <c r="B19" s="5" t="s">
        <v>46</v>
      </c>
      <c r="C19" s="5" t="s">
        <v>68</v>
      </c>
      <c r="D19" s="5" t="s">
        <v>69</v>
      </c>
      <c r="E19" s="5" t="s">
        <v>49</v>
      </c>
      <c r="F19" s="5" t="s">
        <v>50</v>
      </c>
      <c r="G19" s="5" t="s">
        <v>62</v>
      </c>
      <c r="H19" s="5" t="s">
        <v>63</v>
      </c>
      <c r="I19" s="6" t="n">
        <v>5</v>
      </c>
      <c r="J19" s="6" t="n">
        <v>5</v>
      </c>
      <c r="K19" s="7" t="n">
        <f aca="false">IF(COUNT(I19:J19)=0,"",AVERAGE(I19:J19))</f>
        <v>5</v>
      </c>
      <c r="L19" s="5" t="s">
        <v>64</v>
      </c>
      <c r="M19" s="5"/>
      <c r="N19" s="8" t="s">
        <v>54</v>
      </c>
      <c r="O19" s="5"/>
    </row>
    <row r="20" customFormat="false" ht="15" hidden="false" customHeight="false" outlineLevel="0" collapsed="false">
      <c r="A20" s="5" t="s">
        <v>45</v>
      </c>
      <c r="B20" s="5" t="s">
        <v>46</v>
      </c>
      <c r="C20" s="5" t="s">
        <v>70</v>
      </c>
      <c r="D20" s="5" t="s">
        <v>71</v>
      </c>
      <c r="E20" s="5" t="s">
        <v>49</v>
      </c>
      <c r="F20" s="5" t="s">
        <v>50</v>
      </c>
      <c r="G20" s="5" t="s">
        <v>51</v>
      </c>
      <c r="H20" s="5" t="s">
        <v>52</v>
      </c>
      <c r="I20" s="6" t="n">
        <v>103</v>
      </c>
      <c r="J20" s="6" t="n">
        <v>110</v>
      </c>
      <c r="K20" s="7" t="n">
        <f aca="false">IF(COUNT(I20:J20)=0,"",AVERAGE(I20:J20))</f>
        <v>106.5</v>
      </c>
      <c r="L20" s="5" t="s">
        <v>53</v>
      </c>
      <c r="M20" s="5"/>
      <c r="N20" s="8" t="s">
        <v>54</v>
      </c>
      <c r="O20" s="5" t="s">
        <v>72</v>
      </c>
    </row>
    <row r="21" customFormat="false" ht="15" hidden="false" customHeight="false" outlineLevel="0" collapsed="false">
      <c r="A21" s="5" t="s">
        <v>45</v>
      </c>
      <c r="B21" s="5" t="s">
        <v>46</v>
      </c>
      <c r="C21" s="5" t="s">
        <v>70</v>
      </c>
      <c r="D21" s="5" t="s">
        <v>71</v>
      </c>
      <c r="E21" s="5" t="s">
        <v>49</v>
      </c>
      <c r="F21" s="5" t="s">
        <v>50</v>
      </c>
      <c r="G21" s="5" t="s">
        <v>56</v>
      </c>
      <c r="H21" s="5" t="s">
        <v>57</v>
      </c>
      <c r="I21" s="6" t="n">
        <v>480</v>
      </c>
      <c r="J21" s="6" t="n">
        <v>550</v>
      </c>
      <c r="K21" s="7" t="n">
        <f aca="false">IF(COUNT(I21:J21)=0,"",AVERAGE(I21:J21))</f>
        <v>515</v>
      </c>
      <c r="L21" s="5" t="s">
        <v>53</v>
      </c>
      <c r="M21" s="5"/>
      <c r="N21" s="8" t="s">
        <v>54</v>
      </c>
      <c r="O21" s="5" t="s">
        <v>72</v>
      </c>
    </row>
    <row r="22" customFormat="false" ht="15" hidden="false" customHeight="false" outlineLevel="0" collapsed="false">
      <c r="A22" s="5" t="s">
        <v>45</v>
      </c>
      <c r="B22" s="5" t="s">
        <v>46</v>
      </c>
      <c r="C22" s="5" t="s">
        <v>70</v>
      </c>
      <c r="D22" s="5" t="s">
        <v>71</v>
      </c>
      <c r="E22" s="5" t="s">
        <v>49</v>
      </c>
      <c r="F22" s="5" t="s">
        <v>50</v>
      </c>
      <c r="G22" s="5" t="s">
        <v>58</v>
      </c>
      <c r="H22" s="5" t="s">
        <v>57</v>
      </c>
      <c r="I22" s="6" t="n">
        <v>550</v>
      </c>
      <c r="J22" s="6" t="n">
        <v>680</v>
      </c>
      <c r="K22" s="7" t="n">
        <f aca="false">IF(COUNT(I22:J22)=0,"",AVERAGE(I22:J22))</f>
        <v>615</v>
      </c>
      <c r="L22" s="5" t="s">
        <v>53</v>
      </c>
      <c r="M22" s="5"/>
      <c r="N22" s="8" t="s">
        <v>54</v>
      </c>
      <c r="O22" s="5" t="s">
        <v>72</v>
      </c>
    </row>
    <row r="23" customFormat="false" ht="15" hidden="false" customHeight="false" outlineLevel="0" collapsed="false">
      <c r="A23" s="5" t="s">
        <v>45</v>
      </c>
      <c r="B23" s="5" t="s">
        <v>46</v>
      </c>
      <c r="C23" s="5" t="s">
        <v>70</v>
      </c>
      <c r="D23" s="5" t="s">
        <v>71</v>
      </c>
      <c r="E23" s="5" t="s">
        <v>49</v>
      </c>
      <c r="F23" s="5" t="s">
        <v>50</v>
      </c>
      <c r="G23" s="5" t="s">
        <v>59</v>
      </c>
      <c r="H23" s="5" t="s">
        <v>57</v>
      </c>
      <c r="I23" s="6" t="n">
        <v>340</v>
      </c>
      <c r="J23" s="6" t="n">
        <v>430</v>
      </c>
      <c r="K23" s="7" t="n">
        <f aca="false">IF(COUNT(I23:J23)=0,"",AVERAGE(I23:J23))</f>
        <v>385</v>
      </c>
      <c r="L23" s="5" t="s">
        <v>53</v>
      </c>
      <c r="M23" s="5"/>
      <c r="N23" s="8" t="s">
        <v>54</v>
      </c>
      <c r="O23" s="5" t="s">
        <v>72</v>
      </c>
    </row>
    <row r="24" customFormat="false" ht="15" hidden="false" customHeight="false" outlineLevel="0" collapsed="false">
      <c r="A24" s="5" t="s">
        <v>45</v>
      </c>
      <c r="B24" s="5" t="s">
        <v>46</v>
      </c>
      <c r="C24" s="5" t="s">
        <v>70</v>
      </c>
      <c r="D24" s="5" t="s">
        <v>71</v>
      </c>
      <c r="E24" s="5" t="s">
        <v>49</v>
      </c>
      <c r="F24" s="5" t="s">
        <v>50</v>
      </c>
      <c r="G24" s="5" t="s">
        <v>60</v>
      </c>
      <c r="H24" s="5" t="s">
        <v>61</v>
      </c>
      <c r="I24" s="6" t="n">
        <v>4.51</v>
      </c>
      <c r="J24" s="6" t="n">
        <v>4.51</v>
      </c>
      <c r="K24" s="7" t="n">
        <f aca="false">IF(COUNT(I24:J24)=0,"",AVERAGE(I24:J24))</f>
        <v>4.51</v>
      </c>
      <c r="L24" s="5" t="s">
        <v>53</v>
      </c>
      <c r="M24" s="5"/>
      <c r="N24" s="8" t="s">
        <v>54</v>
      </c>
      <c r="O24" s="5" t="s">
        <v>72</v>
      </c>
    </row>
    <row r="25" customFormat="false" ht="15" hidden="false" customHeight="false" outlineLevel="0" collapsed="false">
      <c r="A25" s="5" t="s">
        <v>45</v>
      </c>
      <c r="B25" s="5" t="s">
        <v>46</v>
      </c>
      <c r="C25" s="5" t="s">
        <v>70</v>
      </c>
      <c r="D25" s="5" t="s">
        <v>71</v>
      </c>
      <c r="E25" s="5" t="s">
        <v>49</v>
      </c>
      <c r="F25" s="5" t="s">
        <v>50</v>
      </c>
      <c r="G25" s="5" t="s">
        <v>62</v>
      </c>
      <c r="H25" s="5" t="s">
        <v>63</v>
      </c>
      <c r="I25" s="6" t="n">
        <v>5</v>
      </c>
      <c r="J25" s="6" t="n">
        <v>5</v>
      </c>
      <c r="K25" s="7" t="n">
        <f aca="false">IF(COUNT(I25:J25)=0,"",AVERAGE(I25:J25))</f>
        <v>5</v>
      </c>
      <c r="L25" s="5" t="s">
        <v>64</v>
      </c>
      <c r="M25" s="5"/>
      <c r="N25" s="8" t="s">
        <v>54</v>
      </c>
      <c r="O25" s="5" t="s">
        <v>72</v>
      </c>
    </row>
    <row r="26" customFormat="false" ht="15" hidden="false" customHeight="false" outlineLevel="0" collapsed="false">
      <c r="A26" s="5" t="s">
        <v>45</v>
      </c>
      <c r="B26" s="5" t="s">
        <v>46</v>
      </c>
      <c r="C26" s="5" t="s">
        <v>73</v>
      </c>
      <c r="D26" s="5" t="s">
        <v>74</v>
      </c>
      <c r="E26" s="5" t="s">
        <v>49</v>
      </c>
      <c r="F26" s="5" t="s">
        <v>75</v>
      </c>
      <c r="G26" s="5" t="s">
        <v>51</v>
      </c>
      <c r="H26" s="5" t="s">
        <v>52</v>
      </c>
      <c r="I26" s="6" t="n">
        <v>79</v>
      </c>
      <c r="J26" s="6" t="n">
        <v>84</v>
      </c>
      <c r="K26" s="7" t="n">
        <f aca="false">IF(COUNT(I26:J26)=0,"",AVERAGE(I26:J26))</f>
        <v>81.5</v>
      </c>
      <c r="L26" s="5" t="s">
        <v>76</v>
      </c>
      <c r="M26" s="5"/>
      <c r="N26" s="8" t="s">
        <v>54</v>
      </c>
      <c r="O26" s="5" t="s">
        <v>77</v>
      </c>
    </row>
    <row r="27" customFormat="false" ht="15" hidden="false" customHeight="false" outlineLevel="0" collapsed="false">
      <c r="A27" s="5" t="s">
        <v>45</v>
      </c>
      <c r="B27" s="5" t="s">
        <v>46</v>
      </c>
      <c r="C27" s="5" t="s">
        <v>73</v>
      </c>
      <c r="D27" s="5" t="s">
        <v>74</v>
      </c>
      <c r="E27" s="5" t="s">
        <v>49</v>
      </c>
      <c r="F27" s="5" t="s">
        <v>75</v>
      </c>
      <c r="G27" s="5" t="s">
        <v>56</v>
      </c>
      <c r="H27" s="5" t="s">
        <v>57</v>
      </c>
      <c r="I27" s="6" t="n">
        <v>836</v>
      </c>
      <c r="J27" s="6" t="n">
        <v>908</v>
      </c>
      <c r="K27" s="7" t="n">
        <f aca="false">IF(COUNT(I27:J27)=0,"",AVERAGE(I27:J27))</f>
        <v>872</v>
      </c>
      <c r="L27" s="5" t="s">
        <v>76</v>
      </c>
      <c r="M27" s="5"/>
      <c r="N27" s="8" t="s">
        <v>54</v>
      </c>
      <c r="O27" s="5" t="s">
        <v>77</v>
      </c>
    </row>
    <row r="28" customFormat="false" ht="15" hidden="false" customHeight="false" outlineLevel="0" collapsed="false">
      <c r="A28" s="5" t="s">
        <v>45</v>
      </c>
      <c r="B28" s="5" t="s">
        <v>46</v>
      </c>
      <c r="C28" s="5" t="s">
        <v>73</v>
      </c>
      <c r="D28" s="5" t="s">
        <v>74</v>
      </c>
      <c r="E28" s="5" t="s">
        <v>49</v>
      </c>
      <c r="F28" s="5" t="s">
        <v>75</v>
      </c>
      <c r="G28" s="5" t="s">
        <v>58</v>
      </c>
      <c r="H28" s="5" t="s">
        <v>57</v>
      </c>
      <c r="I28" s="6" t="n">
        <v>973</v>
      </c>
      <c r="J28" s="6" t="n">
        <v>1037</v>
      </c>
      <c r="K28" s="7" t="n">
        <f aca="false">IF(COUNT(I28:J28)=0,"",AVERAGE(I28:J28))</f>
        <v>1005</v>
      </c>
      <c r="L28" s="5" t="s">
        <v>76</v>
      </c>
      <c r="M28" s="5"/>
      <c r="N28" s="8" t="s">
        <v>54</v>
      </c>
      <c r="O28" s="5" t="s">
        <v>77</v>
      </c>
    </row>
    <row r="29" customFormat="false" ht="15" hidden="false" customHeight="false" outlineLevel="0" collapsed="false">
      <c r="A29" s="5" t="s">
        <v>45</v>
      </c>
      <c r="B29" s="5" t="s">
        <v>46</v>
      </c>
      <c r="C29" s="5" t="s">
        <v>73</v>
      </c>
      <c r="D29" s="5" t="s">
        <v>74</v>
      </c>
      <c r="E29" s="5" t="s">
        <v>49</v>
      </c>
      <c r="F29" s="5" t="s">
        <v>75</v>
      </c>
      <c r="G29" s="5" t="s">
        <v>59</v>
      </c>
      <c r="H29" s="5" t="s">
        <v>57</v>
      </c>
      <c r="I29" s="6" t="n">
        <v>500</v>
      </c>
      <c r="J29" s="6" t="n">
        <v>600</v>
      </c>
      <c r="K29" s="7" t="n">
        <f aca="false">IF(COUNT(I29:J29)=0,"",AVERAGE(I29:J29))</f>
        <v>550</v>
      </c>
      <c r="L29" s="5" t="s">
        <v>76</v>
      </c>
      <c r="M29" s="5"/>
      <c r="N29" s="8" t="s">
        <v>54</v>
      </c>
      <c r="O29" s="5" t="s">
        <v>77</v>
      </c>
    </row>
    <row r="30" customFormat="false" ht="15" hidden="false" customHeight="false" outlineLevel="0" collapsed="false">
      <c r="A30" s="5" t="s">
        <v>45</v>
      </c>
      <c r="B30" s="5" t="s">
        <v>46</v>
      </c>
      <c r="C30" s="5" t="s">
        <v>73</v>
      </c>
      <c r="D30" s="5" t="s">
        <v>74</v>
      </c>
      <c r="E30" s="5" t="s">
        <v>49</v>
      </c>
      <c r="F30" s="5" t="s">
        <v>75</v>
      </c>
      <c r="G30" s="5" t="s">
        <v>60</v>
      </c>
      <c r="H30" s="5" t="s">
        <v>61</v>
      </c>
      <c r="I30" s="6" t="n">
        <v>4.9</v>
      </c>
      <c r="J30" s="6" t="n">
        <v>5.1</v>
      </c>
      <c r="K30" s="7" t="n">
        <f aca="false">IF(COUNT(I30:J30)=0,"",AVERAGE(I30:J30))</f>
        <v>5</v>
      </c>
      <c r="L30" s="5" t="s">
        <v>76</v>
      </c>
      <c r="M30" s="5"/>
      <c r="N30" s="8" t="s">
        <v>54</v>
      </c>
      <c r="O30" s="5" t="s">
        <v>77</v>
      </c>
    </row>
    <row r="31" customFormat="false" ht="15" hidden="false" customHeight="false" outlineLevel="0" collapsed="false">
      <c r="A31" s="5" t="s">
        <v>45</v>
      </c>
      <c r="B31" s="5" t="s">
        <v>46</v>
      </c>
      <c r="C31" s="5" t="s">
        <v>73</v>
      </c>
      <c r="D31" s="5" t="s">
        <v>74</v>
      </c>
      <c r="E31" s="5" t="s">
        <v>49</v>
      </c>
      <c r="F31" s="5" t="s">
        <v>75</v>
      </c>
      <c r="G31" s="5" t="s">
        <v>62</v>
      </c>
      <c r="H31" s="5" t="s">
        <v>63</v>
      </c>
      <c r="I31" s="6" t="n">
        <v>5</v>
      </c>
      <c r="J31" s="6" t="n">
        <v>5</v>
      </c>
      <c r="K31" s="7" t="n">
        <f aca="false">IF(COUNT(I31:J31)=0,"",AVERAGE(I31:J31))</f>
        <v>5</v>
      </c>
      <c r="L31" s="5" t="s">
        <v>64</v>
      </c>
      <c r="M31" s="5"/>
      <c r="N31" s="8" t="s">
        <v>54</v>
      </c>
      <c r="O31" s="5" t="s">
        <v>77</v>
      </c>
    </row>
    <row r="32" customFormat="false" ht="15" hidden="false" customHeight="false" outlineLevel="0" collapsed="false">
      <c r="A32" s="5" t="s">
        <v>45</v>
      </c>
      <c r="B32" s="5" t="s">
        <v>46</v>
      </c>
      <c r="C32" s="5" t="s">
        <v>78</v>
      </c>
      <c r="D32" s="5" t="s">
        <v>63</v>
      </c>
      <c r="E32" s="5" t="s">
        <v>49</v>
      </c>
      <c r="F32" s="5" t="s">
        <v>79</v>
      </c>
      <c r="G32" s="5" t="s">
        <v>51</v>
      </c>
      <c r="H32" s="5" t="s">
        <v>52</v>
      </c>
      <c r="I32" s="6" t="n">
        <v>55</v>
      </c>
      <c r="J32" s="6" t="n">
        <v>66</v>
      </c>
      <c r="K32" s="7" t="n">
        <f aca="false">IF(COUNT(I32:J32)=0,"",AVERAGE(I32:J32))</f>
        <v>60.5</v>
      </c>
      <c r="L32" s="5" t="s">
        <v>76</v>
      </c>
      <c r="M32" s="5"/>
      <c r="N32" s="8" t="s">
        <v>54</v>
      </c>
      <c r="O32" s="5" t="s">
        <v>80</v>
      </c>
    </row>
    <row r="33" customFormat="false" ht="15" hidden="false" customHeight="false" outlineLevel="0" collapsed="false">
      <c r="A33" s="5" t="s">
        <v>45</v>
      </c>
      <c r="B33" s="5" t="s">
        <v>46</v>
      </c>
      <c r="C33" s="5" t="s">
        <v>78</v>
      </c>
      <c r="D33" s="5" t="s">
        <v>63</v>
      </c>
      <c r="E33" s="5" t="s">
        <v>49</v>
      </c>
      <c r="F33" s="5" t="s">
        <v>79</v>
      </c>
      <c r="G33" s="5" t="s">
        <v>56</v>
      </c>
      <c r="H33" s="5" t="s">
        <v>57</v>
      </c>
      <c r="I33" s="6" t="n">
        <v>530</v>
      </c>
      <c r="J33" s="6" t="n">
        <v>550</v>
      </c>
      <c r="K33" s="7" t="n">
        <f aca="false">IF(COUNT(I33:J33)=0,"",AVERAGE(I33:J33))</f>
        <v>540</v>
      </c>
      <c r="L33" s="5" t="s">
        <v>76</v>
      </c>
      <c r="M33" s="5"/>
      <c r="N33" s="8" t="s">
        <v>54</v>
      </c>
      <c r="O33" s="5" t="s">
        <v>80</v>
      </c>
    </row>
    <row r="34" customFormat="false" ht="15" hidden="false" customHeight="false" outlineLevel="0" collapsed="false">
      <c r="A34" s="5" t="s">
        <v>45</v>
      </c>
      <c r="B34" s="5" t="s">
        <v>46</v>
      </c>
      <c r="C34" s="5" t="s">
        <v>78</v>
      </c>
      <c r="D34" s="5" t="s">
        <v>63</v>
      </c>
      <c r="E34" s="5" t="s">
        <v>49</v>
      </c>
      <c r="F34" s="5" t="s">
        <v>79</v>
      </c>
      <c r="G34" s="5" t="s">
        <v>58</v>
      </c>
      <c r="H34" s="5" t="s">
        <v>57</v>
      </c>
      <c r="I34" s="6" t="n">
        <v>590</v>
      </c>
      <c r="J34" s="6" t="n">
        <v>600</v>
      </c>
      <c r="K34" s="7" t="n">
        <f aca="false">IF(COUNT(I34:J34)=0,"",AVERAGE(I34:J34))</f>
        <v>595</v>
      </c>
      <c r="L34" s="5" t="s">
        <v>76</v>
      </c>
      <c r="M34" s="5"/>
      <c r="N34" s="8" t="s">
        <v>54</v>
      </c>
      <c r="O34" s="5" t="s">
        <v>80</v>
      </c>
    </row>
    <row r="35" customFormat="false" ht="15" hidden="false" customHeight="false" outlineLevel="0" collapsed="false">
      <c r="A35" s="5" t="s">
        <v>45</v>
      </c>
      <c r="B35" s="5" t="s">
        <v>46</v>
      </c>
      <c r="C35" s="5" t="s">
        <v>78</v>
      </c>
      <c r="D35" s="5" t="s">
        <v>63</v>
      </c>
      <c r="E35" s="5" t="s">
        <v>49</v>
      </c>
      <c r="F35" s="5" t="s">
        <v>79</v>
      </c>
      <c r="G35" s="5" t="s">
        <v>59</v>
      </c>
      <c r="H35" s="5" t="s">
        <v>57</v>
      </c>
      <c r="I35" s="6" t="n">
        <v>265</v>
      </c>
      <c r="J35" s="6" t="n">
        <v>450</v>
      </c>
      <c r="K35" s="7" t="n">
        <f aca="false">IF(COUNT(I35:J35)=0,"",AVERAGE(I35:J35))</f>
        <v>357.5</v>
      </c>
      <c r="L35" s="5" t="s">
        <v>76</v>
      </c>
      <c r="M35" s="5"/>
      <c r="N35" s="8" t="s">
        <v>54</v>
      </c>
      <c r="O35" s="5" t="s">
        <v>80</v>
      </c>
    </row>
    <row r="36" customFormat="false" ht="15" hidden="false" customHeight="false" outlineLevel="0" collapsed="false">
      <c r="A36" s="5" t="s">
        <v>45</v>
      </c>
      <c r="B36" s="5" t="s">
        <v>46</v>
      </c>
      <c r="C36" s="5" t="s">
        <v>78</v>
      </c>
      <c r="D36" s="5" t="s">
        <v>63</v>
      </c>
      <c r="E36" s="5" t="s">
        <v>49</v>
      </c>
      <c r="F36" s="5" t="s">
        <v>79</v>
      </c>
      <c r="G36" s="5" t="s">
        <v>60</v>
      </c>
      <c r="H36" s="5" t="s">
        <v>61</v>
      </c>
      <c r="I36" s="6" t="n">
        <v>5.6</v>
      </c>
      <c r="J36" s="6" t="n">
        <v>5.8</v>
      </c>
      <c r="K36" s="7" t="n">
        <f aca="false">IF(COUNT(I36:J36)=0,"",AVERAGE(I36:J36))</f>
        <v>5.7</v>
      </c>
      <c r="L36" s="5" t="s">
        <v>76</v>
      </c>
      <c r="M36" s="5"/>
      <c r="N36" s="8" t="s">
        <v>54</v>
      </c>
      <c r="O36" s="5" t="s">
        <v>80</v>
      </c>
    </row>
    <row r="37" customFormat="false" ht="15" hidden="false" customHeight="false" outlineLevel="0" collapsed="false">
      <c r="A37" s="5" t="s">
        <v>45</v>
      </c>
      <c r="B37" s="5" t="s">
        <v>46</v>
      </c>
      <c r="C37" s="5" t="s">
        <v>78</v>
      </c>
      <c r="D37" s="5" t="s">
        <v>63</v>
      </c>
      <c r="E37" s="5" t="s">
        <v>49</v>
      </c>
      <c r="F37" s="5" t="s">
        <v>79</v>
      </c>
      <c r="G37" s="5" t="s">
        <v>62</v>
      </c>
      <c r="H37" s="5" t="s">
        <v>63</v>
      </c>
      <c r="I37" s="6" t="n">
        <v>5</v>
      </c>
      <c r="J37" s="6" t="n">
        <v>5</v>
      </c>
      <c r="K37" s="7" t="n">
        <f aca="false">IF(COUNT(I37:J37)=0,"",AVERAGE(I37:J37))</f>
        <v>5</v>
      </c>
      <c r="L37" s="5" t="s">
        <v>64</v>
      </c>
      <c r="M37" s="5"/>
      <c r="N37" s="8" t="s">
        <v>54</v>
      </c>
      <c r="O37" s="5" t="s">
        <v>80</v>
      </c>
    </row>
    <row r="38" customFormat="false" ht="15" hidden="false" customHeight="false" outlineLevel="0" collapsed="false">
      <c r="A38" s="5" t="s">
        <v>45</v>
      </c>
      <c r="B38" s="5" t="s">
        <v>81</v>
      </c>
      <c r="C38" s="5" t="s">
        <v>82</v>
      </c>
      <c r="D38" s="5" t="s">
        <v>63</v>
      </c>
      <c r="E38" s="5" t="s">
        <v>83</v>
      </c>
      <c r="F38" s="5" t="s">
        <v>50</v>
      </c>
      <c r="G38" s="5" t="s">
        <v>84</v>
      </c>
      <c r="H38" s="5" t="s">
        <v>85</v>
      </c>
      <c r="I38" s="6" t="n">
        <v>0.1</v>
      </c>
      <c r="J38" s="6" t="n">
        <v>0.2</v>
      </c>
      <c r="K38" s="7" t="n">
        <f aca="false">IF(COUNT(I38:J38)=0,"",AVERAGE(I38:J38))</f>
        <v>0.15</v>
      </c>
      <c r="L38" s="5" t="s">
        <v>86</v>
      </c>
      <c r="M38" s="5"/>
      <c r="N38" s="8" t="s">
        <v>54</v>
      </c>
      <c r="O38" s="5" t="s">
        <v>87</v>
      </c>
    </row>
    <row r="39" customFormat="false" ht="15" hidden="false" customHeight="false" outlineLevel="0" collapsed="false">
      <c r="A39" s="5" t="s">
        <v>45</v>
      </c>
      <c r="B39" s="5" t="s">
        <v>81</v>
      </c>
      <c r="C39" s="5" t="s">
        <v>82</v>
      </c>
      <c r="D39" s="5" t="s">
        <v>63</v>
      </c>
      <c r="E39" s="5" t="s">
        <v>83</v>
      </c>
      <c r="F39" s="5" t="s">
        <v>50</v>
      </c>
      <c r="G39" s="5" t="s">
        <v>88</v>
      </c>
      <c r="H39" s="5" t="s">
        <v>89</v>
      </c>
      <c r="I39" s="6" t="n">
        <v>300</v>
      </c>
      <c r="J39" s="6" t="n">
        <v>450</v>
      </c>
      <c r="K39" s="7" t="n">
        <f aca="false">IF(COUNT(I39:J39)=0,"",AVERAGE(I39:J39))</f>
        <v>375</v>
      </c>
      <c r="L39" s="5" t="s">
        <v>90</v>
      </c>
      <c r="M39" s="5"/>
      <c r="N39" s="8" t="s">
        <v>54</v>
      </c>
      <c r="O39" s="5" t="s">
        <v>87</v>
      </c>
    </row>
    <row r="40" customFormat="false" ht="15" hidden="false" customHeight="false" outlineLevel="0" collapsed="false">
      <c r="A40" s="5" t="s">
        <v>45</v>
      </c>
      <c r="B40" s="5" t="s">
        <v>81</v>
      </c>
      <c r="C40" s="5" t="s">
        <v>82</v>
      </c>
      <c r="D40" s="5" t="s">
        <v>63</v>
      </c>
      <c r="E40" s="5" t="s">
        <v>83</v>
      </c>
      <c r="F40" s="5" t="s">
        <v>50</v>
      </c>
      <c r="G40" s="5" t="s">
        <v>91</v>
      </c>
      <c r="H40" s="5" t="s">
        <v>63</v>
      </c>
      <c r="I40" s="6" t="n">
        <v>4</v>
      </c>
      <c r="J40" s="6" t="n">
        <v>4</v>
      </c>
      <c r="K40" s="7" t="n">
        <f aca="false">IF(COUNT(I40:J40)=0,"",AVERAGE(I40:J40))</f>
        <v>4</v>
      </c>
      <c r="L40" s="5" t="s">
        <v>64</v>
      </c>
      <c r="M40" s="5"/>
      <c r="N40" s="8" t="s">
        <v>54</v>
      </c>
      <c r="O40" s="5" t="s">
        <v>87</v>
      </c>
    </row>
    <row r="41" customFormat="false" ht="15" hidden="false" customHeight="false" outlineLevel="0" collapsed="false">
      <c r="A41" s="5" t="s">
        <v>45</v>
      </c>
      <c r="B41" s="5" t="s">
        <v>81</v>
      </c>
      <c r="C41" s="5" t="s">
        <v>92</v>
      </c>
      <c r="D41" s="5" t="s">
        <v>63</v>
      </c>
      <c r="E41" s="5" t="s">
        <v>83</v>
      </c>
      <c r="F41" s="5" t="s">
        <v>50</v>
      </c>
      <c r="G41" s="5" t="s">
        <v>84</v>
      </c>
      <c r="H41" s="5" t="s">
        <v>85</v>
      </c>
      <c r="I41" s="6" t="n">
        <v>0.01</v>
      </c>
      <c r="J41" s="6" t="n">
        <v>0.05</v>
      </c>
      <c r="K41" s="7" t="n">
        <f aca="false">IF(COUNT(I41:J41)=0,"",AVERAGE(I41:J41))</f>
        <v>0.03</v>
      </c>
      <c r="L41" s="5" t="s">
        <v>86</v>
      </c>
      <c r="M41" s="5"/>
      <c r="N41" s="8" t="s">
        <v>54</v>
      </c>
      <c r="O41" s="5" t="s">
        <v>93</v>
      </c>
    </row>
    <row r="42" customFormat="false" ht="15" hidden="false" customHeight="false" outlineLevel="0" collapsed="false">
      <c r="A42" s="5" t="s">
        <v>45</v>
      </c>
      <c r="B42" s="5" t="s">
        <v>81</v>
      </c>
      <c r="C42" s="5" t="s">
        <v>92</v>
      </c>
      <c r="D42" s="5" t="s">
        <v>63</v>
      </c>
      <c r="E42" s="5" t="s">
        <v>83</v>
      </c>
      <c r="F42" s="5" t="s">
        <v>50</v>
      </c>
      <c r="G42" s="5" t="s">
        <v>88</v>
      </c>
      <c r="H42" s="5" t="s">
        <v>89</v>
      </c>
      <c r="I42" s="6" t="n">
        <v>300</v>
      </c>
      <c r="J42" s="6" t="n">
        <v>450</v>
      </c>
      <c r="K42" s="7" t="n">
        <f aca="false">IF(COUNT(I42:J42)=0,"",AVERAGE(I42:J42))</f>
        <v>375</v>
      </c>
      <c r="L42" s="5" t="s">
        <v>90</v>
      </c>
      <c r="M42" s="5"/>
      <c r="N42" s="8" t="s">
        <v>54</v>
      </c>
      <c r="O42" s="5" t="s">
        <v>93</v>
      </c>
    </row>
    <row r="43" customFormat="false" ht="15" hidden="false" customHeight="false" outlineLevel="0" collapsed="false">
      <c r="A43" s="5" t="s">
        <v>45</v>
      </c>
      <c r="B43" s="5" t="s">
        <v>81</v>
      </c>
      <c r="C43" s="5" t="s">
        <v>92</v>
      </c>
      <c r="D43" s="5" t="s">
        <v>63</v>
      </c>
      <c r="E43" s="5" t="s">
        <v>83</v>
      </c>
      <c r="F43" s="5" t="s">
        <v>50</v>
      </c>
      <c r="G43" s="5" t="s">
        <v>91</v>
      </c>
      <c r="H43" s="5" t="s">
        <v>63</v>
      </c>
      <c r="I43" s="6" t="n">
        <v>4</v>
      </c>
      <c r="J43" s="6" t="n">
        <v>4</v>
      </c>
      <c r="K43" s="7" t="n">
        <f aca="false">IF(COUNT(I43:J43)=0,"",AVERAGE(I43:J43))</f>
        <v>4</v>
      </c>
      <c r="L43" s="5" t="s">
        <v>64</v>
      </c>
      <c r="M43" s="5"/>
      <c r="N43" s="8" t="s">
        <v>54</v>
      </c>
      <c r="O43" s="5" t="s">
        <v>93</v>
      </c>
    </row>
    <row r="44" customFormat="false" ht="15" hidden="false" customHeight="false" outlineLevel="0" collapsed="false">
      <c r="A44" s="5" t="s">
        <v>45</v>
      </c>
      <c r="B44" s="5" t="s">
        <v>81</v>
      </c>
      <c r="C44" s="5" t="s">
        <v>94</v>
      </c>
      <c r="D44" s="5" t="s">
        <v>63</v>
      </c>
      <c r="E44" s="5" t="s">
        <v>83</v>
      </c>
      <c r="F44" s="5" t="s">
        <v>50</v>
      </c>
      <c r="G44" s="5" t="s">
        <v>84</v>
      </c>
      <c r="H44" s="5" t="s">
        <v>85</v>
      </c>
      <c r="I44" s="6" t="n">
        <v>0.01</v>
      </c>
      <c r="J44" s="6" t="n">
        <v>0.04</v>
      </c>
      <c r="K44" s="7" t="n">
        <f aca="false">IF(COUNT(I44:J44)=0,"",AVERAGE(I44:J44))</f>
        <v>0.025</v>
      </c>
      <c r="L44" s="5" t="s">
        <v>86</v>
      </c>
      <c r="M44" s="5"/>
      <c r="N44" s="8" t="s">
        <v>54</v>
      </c>
      <c r="O44" s="5" t="s">
        <v>95</v>
      </c>
    </row>
    <row r="45" customFormat="false" ht="15" hidden="false" customHeight="false" outlineLevel="0" collapsed="false">
      <c r="A45" s="5" t="s">
        <v>45</v>
      </c>
      <c r="B45" s="5" t="s">
        <v>81</v>
      </c>
      <c r="C45" s="5" t="s">
        <v>94</v>
      </c>
      <c r="D45" s="5" t="s">
        <v>63</v>
      </c>
      <c r="E45" s="5" t="s">
        <v>83</v>
      </c>
      <c r="F45" s="5" t="s">
        <v>50</v>
      </c>
      <c r="G45" s="5" t="s">
        <v>88</v>
      </c>
      <c r="H45" s="5" t="s">
        <v>89</v>
      </c>
      <c r="I45" s="6" t="n">
        <v>1750</v>
      </c>
      <c r="J45" s="6" t="n">
        <v>1975</v>
      </c>
      <c r="K45" s="7" t="n">
        <f aca="false">IF(COUNT(I45:J45)=0,"",AVERAGE(I45:J45))</f>
        <v>1862.5</v>
      </c>
      <c r="L45" s="5" t="s">
        <v>90</v>
      </c>
      <c r="M45" s="5"/>
      <c r="N45" s="8" t="s">
        <v>54</v>
      </c>
      <c r="O45" s="5" t="s">
        <v>95</v>
      </c>
    </row>
    <row r="46" customFormat="false" ht="15" hidden="false" customHeight="false" outlineLevel="0" collapsed="false">
      <c r="A46" s="5" t="s">
        <v>45</v>
      </c>
      <c r="B46" s="5" t="s">
        <v>81</v>
      </c>
      <c r="C46" s="5" t="s">
        <v>94</v>
      </c>
      <c r="D46" s="5" t="s">
        <v>63</v>
      </c>
      <c r="E46" s="5" t="s">
        <v>83</v>
      </c>
      <c r="F46" s="5" t="s">
        <v>50</v>
      </c>
      <c r="G46" s="5" t="s">
        <v>91</v>
      </c>
      <c r="H46" s="5" t="s">
        <v>63</v>
      </c>
      <c r="I46" s="6" t="n">
        <v>5</v>
      </c>
      <c r="J46" s="6" t="n">
        <v>5</v>
      </c>
      <c r="K46" s="7" t="n">
        <f aca="false">IF(COUNT(I46:J46)=0,"",AVERAGE(I46:J46))</f>
        <v>5</v>
      </c>
      <c r="L46" s="5" t="s">
        <v>64</v>
      </c>
      <c r="M46" s="5"/>
      <c r="N46" s="8" t="s">
        <v>54</v>
      </c>
      <c r="O46" s="5" t="s">
        <v>95</v>
      </c>
    </row>
    <row r="47" customFormat="false" ht="15" hidden="false" customHeight="false" outlineLevel="0" collapsed="false">
      <c r="A47" s="5" t="s">
        <v>45</v>
      </c>
      <c r="B47" s="5" t="s">
        <v>81</v>
      </c>
      <c r="C47" s="5" t="s">
        <v>96</v>
      </c>
      <c r="D47" s="5" t="s">
        <v>63</v>
      </c>
      <c r="E47" s="5" t="s">
        <v>83</v>
      </c>
      <c r="F47" s="5" t="s">
        <v>50</v>
      </c>
      <c r="G47" s="5" t="s">
        <v>84</v>
      </c>
      <c r="H47" s="5" t="s">
        <v>85</v>
      </c>
      <c r="I47" s="6" t="n">
        <v>0.001</v>
      </c>
      <c r="J47" s="6" t="n">
        <v>0.005</v>
      </c>
      <c r="K47" s="7" t="n">
        <f aca="false">IF(COUNT(I47:J47)=0,"",AVERAGE(I47:J47))</f>
        <v>0.003</v>
      </c>
      <c r="L47" s="5" t="s">
        <v>86</v>
      </c>
      <c r="M47" s="5"/>
      <c r="N47" s="8" t="s">
        <v>54</v>
      </c>
      <c r="O47" s="5" t="s">
        <v>97</v>
      </c>
    </row>
    <row r="48" customFormat="false" ht="15" hidden="false" customHeight="false" outlineLevel="0" collapsed="false">
      <c r="A48" s="5" t="s">
        <v>45</v>
      </c>
      <c r="B48" s="5" t="s">
        <v>81</v>
      </c>
      <c r="C48" s="5" t="s">
        <v>96</v>
      </c>
      <c r="D48" s="5" t="s">
        <v>63</v>
      </c>
      <c r="E48" s="5" t="s">
        <v>83</v>
      </c>
      <c r="F48" s="5" t="s">
        <v>50</v>
      </c>
      <c r="G48" s="5" t="s">
        <v>88</v>
      </c>
      <c r="H48" s="5" t="s">
        <v>89</v>
      </c>
      <c r="I48" s="6" t="n">
        <v>1750</v>
      </c>
      <c r="J48" s="6" t="n">
        <v>1975</v>
      </c>
      <c r="K48" s="7" t="n">
        <f aca="false">IF(COUNT(I48:J48)=0,"",AVERAGE(I48:J48))</f>
        <v>1862.5</v>
      </c>
      <c r="L48" s="5" t="s">
        <v>90</v>
      </c>
      <c r="M48" s="5"/>
      <c r="N48" s="8" t="s">
        <v>54</v>
      </c>
      <c r="O48" s="5" t="s">
        <v>97</v>
      </c>
    </row>
    <row r="49" customFormat="false" ht="15" hidden="false" customHeight="false" outlineLevel="0" collapsed="false">
      <c r="A49" s="5" t="s">
        <v>45</v>
      </c>
      <c r="B49" s="5" t="s">
        <v>81</v>
      </c>
      <c r="C49" s="5" t="s">
        <v>96</v>
      </c>
      <c r="D49" s="5" t="s">
        <v>63</v>
      </c>
      <c r="E49" s="5" t="s">
        <v>83</v>
      </c>
      <c r="F49" s="5" t="s">
        <v>50</v>
      </c>
      <c r="G49" s="5" t="s">
        <v>91</v>
      </c>
      <c r="H49" s="5" t="s">
        <v>63</v>
      </c>
      <c r="I49" s="6" t="n">
        <v>5</v>
      </c>
      <c r="J49" s="6" t="n">
        <v>5</v>
      </c>
      <c r="K49" s="7" t="n">
        <f aca="false">IF(COUNT(I49:J49)=0,"",AVERAGE(I49:J49))</f>
        <v>5</v>
      </c>
      <c r="L49" s="5" t="s">
        <v>64</v>
      </c>
      <c r="M49" s="5"/>
      <c r="N49" s="8" t="s">
        <v>54</v>
      </c>
      <c r="O49" s="5" t="s">
        <v>97</v>
      </c>
    </row>
    <row r="50" customFormat="false" ht="15" hidden="false" customHeight="false" outlineLevel="0" collapsed="false">
      <c r="A50" s="5" t="s">
        <v>45</v>
      </c>
      <c r="B50" s="5" t="s">
        <v>81</v>
      </c>
      <c r="C50" s="5" t="s">
        <v>98</v>
      </c>
      <c r="D50" s="5" t="s">
        <v>63</v>
      </c>
      <c r="E50" s="5" t="s">
        <v>83</v>
      </c>
      <c r="F50" s="5" t="s">
        <v>99</v>
      </c>
      <c r="G50" s="5" t="s">
        <v>84</v>
      </c>
      <c r="H50" s="5" t="s">
        <v>85</v>
      </c>
      <c r="I50" s="6" t="n">
        <v>0.003</v>
      </c>
      <c r="J50" s="6" t="n">
        <v>0.01</v>
      </c>
      <c r="K50" s="7" t="n">
        <f aca="false">IF(COUNT(I50:J50)=0,"",AVERAGE(I50:J50))</f>
        <v>0.0065</v>
      </c>
      <c r="L50" s="5" t="s">
        <v>86</v>
      </c>
      <c r="M50" s="5"/>
      <c r="N50" s="8" t="s">
        <v>54</v>
      </c>
      <c r="O50" s="5" t="s">
        <v>100</v>
      </c>
    </row>
    <row r="51" customFormat="false" ht="15" hidden="false" customHeight="false" outlineLevel="0" collapsed="false">
      <c r="A51" s="5" t="s">
        <v>45</v>
      </c>
      <c r="B51" s="5" t="s">
        <v>81</v>
      </c>
      <c r="C51" s="5" t="s">
        <v>98</v>
      </c>
      <c r="D51" s="5" t="s">
        <v>63</v>
      </c>
      <c r="E51" s="5" t="s">
        <v>83</v>
      </c>
      <c r="F51" s="5" t="s">
        <v>99</v>
      </c>
      <c r="G51" s="5" t="s">
        <v>88</v>
      </c>
      <c r="H51" s="5" t="s">
        <v>89</v>
      </c>
      <c r="I51" s="6" t="n">
        <v>300</v>
      </c>
      <c r="J51" s="6" t="n">
        <v>450</v>
      </c>
      <c r="K51" s="7" t="n">
        <f aca="false">IF(COUNT(I51:J51)=0,"",AVERAGE(I51:J51))</f>
        <v>375</v>
      </c>
      <c r="L51" s="5" t="s">
        <v>90</v>
      </c>
      <c r="M51" s="5"/>
      <c r="N51" s="8" t="s">
        <v>54</v>
      </c>
      <c r="O51" s="5" t="s">
        <v>100</v>
      </c>
    </row>
    <row r="52" customFormat="false" ht="15" hidden="false" customHeight="false" outlineLevel="0" collapsed="false">
      <c r="A52" s="5" t="s">
        <v>45</v>
      </c>
      <c r="B52" s="5" t="s">
        <v>81</v>
      </c>
      <c r="C52" s="5" t="s">
        <v>98</v>
      </c>
      <c r="D52" s="5" t="s">
        <v>63</v>
      </c>
      <c r="E52" s="5" t="s">
        <v>83</v>
      </c>
      <c r="F52" s="5" t="s">
        <v>99</v>
      </c>
      <c r="G52" s="5" t="s">
        <v>91</v>
      </c>
      <c r="H52" s="5" t="s">
        <v>63</v>
      </c>
      <c r="I52" s="6" t="n">
        <v>1</v>
      </c>
      <c r="J52" s="6" t="n">
        <v>1</v>
      </c>
      <c r="K52" s="7" t="n">
        <f aca="false">IF(COUNT(I52:J52)=0,"",AVERAGE(I52:J52))</f>
        <v>1</v>
      </c>
      <c r="L52" s="5" t="s">
        <v>64</v>
      </c>
      <c r="M52" s="5"/>
      <c r="N52" s="8" t="s">
        <v>54</v>
      </c>
      <c r="O52" s="5" t="s">
        <v>100</v>
      </c>
    </row>
    <row r="53" customFormat="false" ht="15" hidden="false" customHeight="false" outlineLevel="0" collapsed="false">
      <c r="A53" s="5" t="s">
        <v>101</v>
      </c>
      <c r="B53" s="5" t="s">
        <v>102</v>
      </c>
      <c r="C53" s="5" t="s">
        <v>70</v>
      </c>
      <c r="D53" s="5" t="s">
        <v>71</v>
      </c>
      <c r="E53" s="5" t="s">
        <v>49</v>
      </c>
      <c r="F53" s="5" t="s">
        <v>50</v>
      </c>
      <c r="G53" s="5" t="s">
        <v>51</v>
      </c>
      <c r="H53" s="5" t="s">
        <v>52</v>
      </c>
      <c r="I53" s="6" t="n">
        <v>103</v>
      </c>
      <c r="J53" s="6" t="n">
        <v>110</v>
      </c>
      <c r="K53" s="7" t="n">
        <f aca="false">IF(COUNT(I53:J53)=0,"",AVERAGE(I53:J53))</f>
        <v>106.5</v>
      </c>
      <c r="L53" s="5" t="s">
        <v>53</v>
      </c>
      <c r="M53" s="5"/>
      <c r="N53" s="8" t="s">
        <v>54</v>
      </c>
      <c r="O53" s="5"/>
    </row>
    <row r="54" customFormat="false" ht="15" hidden="false" customHeight="false" outlineLevel="0" collapsed="false">
      <c r="A54" s="5" t="s">
        <v>101</v>
      </c>
      <c r="B54" s="5" t="s">
        <v>102</v>
      </c>
      <c r="C54" s="5" t="s">
        <v>70</v>
      </c>
      <c r="D54" s="5" t="s">
        <v>71</v>
      </c>
      <c r="E54" s="5" t="s">
        <v>49</v>
      </c>
      <c r="F54" s="5" t="s">
        <v>50</v>
      </c>
      <c r="G54" s="5" t="s">
        <v>103</v>
      </c>
      <c r="H54" s="5" t="s">
        <v>57</v>
      </c>
      <c r="I54" s="6" t="n">
        <v>550</v>
      </c>
      <c r="J54" s="6" t="n">
        <v>680</v>
      </c>
      <c r="K54" s="7" t="n">
        <f aca="false">IF(COUNT(I54:J54)=0,"",AVERAGE(I54:J54))</f>
        <v>615</v>
      </c>
      <c r="L54" s="5" t="s">
        <v>53</v>
      </c>
      <c r="M54" s="5"/>
      <c r="N54" s="8" t="s">
        <v>54</v>
      </c>
      <c r="O54" s="5"/>
    </row>
    <row r="55" customFormat="false" ht="15" hidden="false" customHeight="false" outlineLevel="0" collapsed="false">
      <c r="A55" s="5" t="s">
        <v>101</v>
      </c>
      <c r="B55" s="5" t="s">
        <v>102</v>
      </c>
      <c r="C55" s="5" t="s">
        <v>70</v>
      </c>
      <c r="D55" s="5" t="s">
        <v>71</v>
      </c>
      <c r="E55" s="5" t="s">
        <v>49</v>
      </c>
      <c r="F55" s="5" t="s">
        <v>50</v>
      </c>
      <c r="G55" s="5" t="s">
        <v>104</v>
      </c>
      <c r="H55" s="5" t="s">
        <v>105</v>
      </c>
      <c r="I55" s="6" t="n">
        <v>50</v>
      </c>
      <c r="J55" s="6" t="n">
        <v>70</v>
      </c>
      <c r="K55" s="7" t="n">
        <f aca="false">IF(COUNT(I55:J55)=0,"",AVERAGE(I55:J55))</f>
        <v>60</v>
      </c>
      <c r="L55" s="5" t="s">
        <v>53</v>
      </c>
      <c r="M55" s="5"/>
      <c r="N55" s="8" t="s">
        <v>54</v>
      </c>
      <c r="O55" s="5"/>
    </row>
    <row r="56" customFormat="false" ht="15" hidden="false" customHeight="false" outlineLevel="0" collapsed="false">
      <c r="A56" s="5" t="s">
        <v>101</v>
      </c>
      <c r="B56" s="5" t="s">
        <v>102</v>
      </c>
      <c r="C56" s="5" t="s">
        <v>70</v>
      </c>
      <c r="D56" s="5" t="s">
        <v>71</v>
      </c>
      <c r="E56" s="5" t="s">
        <v>49</v>
      </c>
      <c r="F56" s="5" t="s">
        <v>50</v>
      </c>
      <c r="G56" s="5" t="s">
        <v>60</v>
      </c>
      <c r="H56" s="5" t="s">
        <v>61</v>
      </c>
      <c r="I56" s="6" t="n">
        <v>4.51</v>
      </c>
      <c r="J56" s="6" t="n">
        <v>4.51</v>
      </c>
      <c r="K56" s="7" t="n">
        <f aca="false">IF(COUNT(I56:J56)=0,"",AVERAGE(I56:J56))</f>
        <v>4.51</v>
      </c>
      <c r="L56" s="5" t="s">
        <v>53</v>
      </c>
      <c r="M56" s="5"/>
      <c r="N56" s="8" t="s">
        <v>54</v>
      </c>
      <c r="O56" s="5"/>
    </row>
    <row r="57" customFormat="false" ht="15" hidden="false" customHeight="false" outlineLevel="0" collapsed="false">
      <c r="A57" s="5" t="s">
        <v>101</v>
      </c>
      <c r="B57" s="5" t="s">
        <v>102</v>
      </c>
      <c r="C57" s="5" t="s">
        <v>70</v>
      </c>
      <c r="D57" s="5" t="s">
        <v>71</v>
      </c>
      <c r="E57" s="5" t="s">
        <v>49</v>
      </c>
      <c r="F57" s="5" t="s">
        <v>50</v>
      </c>
      <c r="G57" s="5" t="s">
        <v>106</v>
      </c>
      <c r="H57" s="5" t="s">
        <v>63</v>
      </c>
      <c r="I57" s="6" t="n">
        <v>2</v>
      </c>
      <c r="J57" s="6" t="n">
        <v>2</v>
      </c>
      <c r="K57" s="7" t="n">
        <f aca="false">IF(COUNT(I57:J57)=0,"",AVERAGE(I57:J57))</f>
        <v>2</v>
      </c>
      <c r="L57" s="5" t="s">
        <v>64</v>
      </c>
      <c r="M57" s="5"/>
      <c r="N57" s="8" t="s">
        <v>54</v>
      </c>
      <c r="O57" s="5"/>
    </row>
    <row r="58" customFormat="false" ht="15" hidden="false" customHeight="false" outlineLevel="0" collapsed="false">
      <c r="A58" s="5" t="s">
        <v>101</v>
      </c>
      <c r="B58" s="5" t="s">
        <v>102</v>
      </c>
      <c r="C58" s="5" t="s">
        <v>70</v>
      </c>
      <c r="D58" s="5" t="s">
        <v>71</v>
      </c>
      <c r="E58" s="5" t="s">
        <v>49</v>
      </c>
      <c r="F58" s="5" t="s">
        <v>50</v>
      </c>
      <c r="G58" s="5" t="s">
        <v>107</v>
      </c>
      <c r="H58" s="5" t="s">
        <v>63</v>
      </c>
      <c r="I58" s="6" t="n">
        <v>5</v>
      </c>
      <c r="J58" s="6" t="n">
        <v>5</v>
      </c>
      <c r="K58" s="7" t="n">
        <f aca="false">IF(COUNT(I58:J58)=0,"",AVERAGE(I58:J58))</f>
        <v>5</v>
      </c>
      <c r="L58" s="5" t="s">
        <v>64</v>
      </c>
      <c r="M58" s="5"/>
      <c r="N58" s="8" t="s">
        <v>54</v>
      </c>
      <c r="O58" s="5"/>
    </row>
    <row r="59" customFormat="false" ht="15" hidden="false" customHeight="false" outlineLevel="0" collapsed="false">
      <c r="A59" s="5" t="s">
        <v>101</v>
      </c>
      <c r="B59" s="5" t="s">
        <v>102</v>
      </c>
      <c r="C59" s="5" t="s">
        <v>68</v>
      </c>
      <c r="D59" s="5" t="s">
        <v>69</v>
      </c>
      <c r="E59" s="5" t="s">
        <v>49</v>
      </c>
      <c r="F59" s="5" t="s">
        <v>50</v>
      </c>
      <c r="G59" s="5" t="s">
        <v>51</v>
      </c>
      <c r="H59" s="5" t="s">
        <v>52</v>
      </c>
      <c r="I59" s="6" t="n">
        <v>110</v>
      </c>
      <c r="J59" s="6" t="n">
        <v>114</v>
      </c>
      <c r="K59" s="7" t="n">
        <f aca="false">IF(COUNT(I59:J59)=0,"",AVERAGE(I59:J59))</f>
        <v>112</v>
      </c>
      <c r="L59" s="5" t="s">
        <v>53</v>
      </c>
      <c r="M59" s="5"/>
      <c r="N59" s="8" t="s">
        <v>54</v>
      </c>
      <c r="O59" s="5"/>
    </row>
    <row r="60" customFormat="false" ht="15" hidden="false" customHeight="false" outlineLevel="0" collapsed="false">
      <c r="A60" s="5" t="s">
        <v>101</v>
      </c>
      <c r="B60" s="5" t="s">
        <v>102</v>
      </c>
      <c r="C60" s="5" t="s">
        <v>68</v>
      </c>
      <c r="D60" s="5" t="s">
        <v>69</v>
      </c>
      <c r="E60" s="5" t="s">
        <v>49</v>
      </c>
      <c r="F60" s="5" t="s">
        <v>50</v>
      </c>
      <c r="G60" s="5" t="s">
        <v>103</v>
      </c>
      <c r="H60" s="5" t="s">
        <v>57</v>
      </c>
      <c r="I60" s="6" t="n">
        <v>860</v>
      </c>
      <c r="J60" s="6" t="n">
        <v>965</v>
      </c>
      <c r="K60" s="7" t="n">
        <f aca="false">IF(COUNT(I60:J60)=0,"",AVERAGE(I60:J60))</f>
        <v>912.5</v>
      </c>
      <c r="L60" s="5" t="s">
        <v>53</v>
      </c>
      <c r="M60" s="5"/>
      <c r="N60" s="8" t="s">
        <v>54</v>
      </c>
      <c r="O60" s="5"/>
    </row>
    <row r="61" customFormat="false" ht="15" hidden="false" customHeight="false" outlineLevel="0" collapsed="false">
      <c r="A61" s="5" t="s">
        <v>101</v>
      </c>
      <c r="B61" s="5" t="s">
        <v>102</v>
      </c>
      <c r="C61" s="5" t="s">
        <v>68</v>
      </c>
      <c r="D61" s="5" t="s">
        <v>69</v>
      </c>
      <c r="E61" s="5" t="s">
        <v>49</v>
      </c>
      <c r="F61" s="5" t="s">
        <v>50</v>
      </c>
      <c r="G61" s="5" t="s">
        <v>104</v>
      </c>
      <c r="H61" s="5" t="s">
        <v>105</v>
      </c>
      <c r="I61" s="6" t="n">
        <v>55</v>
      </c>
      <c r="J61" s="6" t="n">
        <v>75</v>
      </c>
      <c r="K61" s="7" t="n">
        <f aca="false">IF(COUNT(I61:J61)=0,"",AVERAGE(I61:J61))</f>
        <v>65</v>
      </c>
      <c r="L61" s="5" t="s">
        <v>53</v>
      </c>
      <c r="M61" s="5"/>
      <c r="N61" s="8" t="s">
        <v>54</v>
      </c>
      <c r="O61" s="5"/>
    </row>
    <row r="62" customFormat="false" ht="15" hidden="false" customHeight="false" outlineLevel="0" collapsed="false">
      <c r="A62" s="5" t="s">
        <v>101</v>
      </c>
      <c r="B62" s="5" t="s">
        <v>102</v>
      </c>
      <c r="C62" s="5" t="s">
        <v>68</v>
      </c>
      <c r="D62" s="5" t="s">
        <v>69</v>
      </c>
      <c r="E62" s="5" t="s">
        <v>49</v>
      </c>
      <c r="F62" s="5" t="s">
        <v>50</v>
      </c>
      <c r="G62" s="5" t="s">
        <v>60</v>
      </c>
      <c r="H62" s="5" t="s">
        <v>61</v>
      </c>
      <c r="I62" s="6" t="n">
        <v>4.43</v>
      </c>
      <c r="J62" s="6" t="n">
        <v>4.43</v>
      </c>
      <c r="K62" s="7" t="n">
        <f aca="false">IF(COUNT(I62:J62)=0,"",AVERAGE(I62:J62))</f>
        <v>4.43</v>
      </c>
      <c r="L62" s="5" t="s">
        <v>53</v>
      </c>
      <c r="M62" s="5"/>
      <c r="N62" s="8" t="s">
        <v>54</v>
      </c>
      <c r="O62" s="5"/>
    </row>
    <row r="63" customFormat="false" ht="15" hidden="false" customHeight="false" outlineLevel="0" collapsed="false">
      <c r="A63" s="5" t="s">
        <v>101</v>
      </c>
      <c r="B63" s="5" t="s">
        <v>102</v>
      </c>
      <c r="C63" s="5" t="s">
        <v>68</v>
      </c>
      <c r="D63" s="5" t="s">
        <v>69</v>
      </c>
      <c r="E63" s="5" t="s">
        <v>49</v>
      </c>
      <c r="F63" s="5" t="s">
        <v>50</v>
      </c>
      <c r="G63" s="5" t="s">
        <v>106</v>
      </c>
      <c r="H63" s="5" t="s">
        <v>63</v>
      </c>
      <c r="I63" s="6" t="n">
        <v>2</v>
      </c>
      <c r="J63" s="6" t="n">
        <v>2</v>
      </c>
      <c r="K63" s="7" t="n">
        <f aca="false">IF(COUNT(I63:J63)=0,"",AVERAGE(I63:J63))</f>
        <v>2</v>
      </c>
      <c r="L63" s="5" t="s">
        <v>64</v>
      </c>
      <c r="M63" s="5"/>
      <c r="N63" s="8" t="s">
        <v>54</v>
      </c>
      <c r="O63" s="5"/>
    </row>
    <row r="64" customFormat="false" ht="15" hidden="false" customHeight="false" outlineLevel="0" collapsed="false">
      <c r="A64" s="5" t="s">
        <v>101</v>
      </c>
      <c r="B64" s="5" t="s">
        <v>102</v>
      </c>
      <c r="C64" s="5" t="s">
        <v>68</v>
      </c>
      <c r="D64" s="5" t="s">
        <v>69</v>
      </c>
      <c r="E64" s="5" t="s">
        <v>49</v>
      </c>
      <c r="F64" s="5" t="s">
        <v>50</v>
      </c>
      <c r="G64" s="5" t="s">
        <v>107</v>
      </c>
      <c r="H64" s="5" t="s">
        <v>63</v>
      </c>
      <c r="I64" s="6" t="n">
        <v>4</v>
      </c>
      <c r="J64" s="6" t="n">
        <v>4</v>
      </c>
      <c r="K64" s="7" t="n">
        <f aca="false">IF(COUNT(I64:J64)=0,"",AVERAGE(I64:J64))</f>
        <v>4</v>
      </c>
      <c r="L64" s="5" t="s">
        <v>64</v>
      </c>
      <c r="M64" s="5"/>
      <c r="N64" s="8" t="s">
        <v>54</v>
      </c>
      <c r="O64" s="5"/>
    </row>
    <row r="65" customFormat="false" ht="15" hidden="false" customHeight="false" outlineLevel="0" collapsed="false">
      <c r="A65" s="5" t="s">
        <v>101</v>
      </c>
      <c r="B65" s="5" t="s">
        <v>102</v>
      </c>
      <c r="C65" s="5" t="s">
        <v>108</v>
      </c>
      <c r="D65" s="5" t="s">
        <v>63</v>
      </c>
      <c r="E65" s="5" t="s">
        <v>49</v>
      </c>
      <c r="F65" s="5" t="s">
        <v>50</v>
      </c>
      <c r="G65" s="5" t="s">
        <v>51</v>
      </c>
      <c r="H65" s="5" t="s">
        <v>52</v>
      </c>
      <c r="I65" s="6" t="n">
        <v>95</v>
      </c>
      <c r="J65" s="6" t="n">
        <v>105</v>
      </c>
      <c r="K65" s="7" t="n">
        <f aca="false">IF(COUNT(I65:J65)=0,"",AVERAGE(I65:J65))</f>
        <v>100</v>
      </c>
      <c r="L65" s="5" t="s">
        <v>109</v>
      </c>
      <c r="M65" s="5"/>
      <c r="N65" s="8" t="s">
        <v>54</v>
      </c>
      <c r="O65" s="5"/>
    </row>
    <row r="66" customFormat="false" ht="15" hidden="false" customHeight="false" outlineLevel="0" collapsed="false">
      <c r="A66" s="5" t="s">
        <v>101</v>
      </c>
      <c r="B66" s="5" t="s">
        <v>102</v>
      </c>
      <c r="C66" s="5" t="s">
        <v>108</v>
      </c>
      <c r="D66" s="5" t="s">
        <v>63</v>
      </c>
      <c r="E66" s="5" t="s">
        <v>49</v>
      </c>
      <c r="F66" s="5" t="s">
        <v>50</v>
      </c>
      <c r="G66" s="5" t="s">
        <v>103</v>
      </c>
      <c r="H66" s="5" t="s">
        <v>57</v>
      </c>
      <c r="I66" s="6" t="n">
        <v>900</v>
      </c>
      <c r="J66" s="6" t="n">
        <v>1000</v>
      </c>
      <c r="K66" s="7" t="n">
        <f aca="false">IF(COUNT(I66:J66)=0,"",AVERAGE(I66:J66))</f>
        <v>950</v>
      </c>
      <c r="L66" s="5" t="s">
        <v>109</v>
      </c>
      <c r="M66" s="5"/>
      <c r="N66" s="8" t="s">
        <v>54</v>
      </c>
      <c r="O66" s="5"/>
    </row>
    <row r="67" customFormat="false" ht="15" hidden="false" customHeight="false" outlineLevel="0" collapsed="false">
      <c r="A67" s="5" t="s">
        <v>101</v>
      </c>
      <c r="B67" s="5" t="s">
        <v>102</v>
      </c>
      <c r="C67" s="5" t="s">
        <v>108</v>
      </c>
      <c r="D67" s="5" t="s">
        <v>63</v>
      </c>
      <c r="E67" s="5" t="s">
        <v>49</v>
      </c>
      <c r="F67" s="5" t="s">
        <v>50</v>
      </c>
      <c r="G67" s="5" t="s">
        <v>104</v>
      </c>
      <c r="H67" s="5" t="s">
        <v>105</v>
      </c>
      <c r="I67" s="6" t="n">
        <v>50</v>
      </c>
      <c r="J67" s="6" t="n">
        <v>70</v>
      </c>
      <c r="K67" s="7" t="n">
        <f aca="false">IF(COUNT(I67:J67)=0,"",AVERAGE(I67:J67))</f>
        <v>60</v>
      </c>
      <c r="L67" s="5" t="s">
        <v>109</v>
      </c>
      <c r="M67" s="5"/>
      <c r="N67" s="8" t="s">
        <v>54</v>
      </c>
      <c r="O67" s="5"/>
    </row>
    <row r="68" customFormat="false" ht="15" hidden="false" customHeight="false" outlineLevel="0" collapsed="false">
      <c r="A68" s="5" t="s">
        <v>101</v>
      </c>
      <c r="B68" s="5" t="s">
        <v>102</v>
      </c>
      <c r="C68" s="5" t="s">
        <v>108</v>
      </c>
      <c r="D68" s="5" t="s">
        <v>63</v>
      </c>
      <c r="E68" s="5" t="s">
        <v>49</v>
      </c>
      <c r="F68" s="5" t="s">
        <v>50</v>
      </c>
      <c r="G68" s="5" t="s">
        <v>60</v>
      </c>
      <c r="H68" s="5" t="s">
        <v>61</v>
      </c>
      <c r="I68" s="6" t="n">
        <v>4.9</v>
      </c>
      <c r="J68" s="6" t="n">
        <v>5.1</v>
      </c>
      <c r="K68" s="7" t="n">
        <f aca="false">IF(COUNT(I68:J68)=0,"",AVERAGE(I68:J68))</f>
        <v>5</v>
      </c>
      <c r="L68" s="5" t="s">
        <v>109</v>
      </c>
      <c r="M68" s="5"/>
      <c r="N68" s="8" t="s">
        <v>54</v>
      </c>
      <c r="O68" s="5"/>
    </row>
    <row r="69" customFormat="false" ht="15" hidden="false" customHeight="false" outlineLevel="0" collapsed="false">
      <c r="A69" s="5" t="s">
        <v>101</v>
      </c>
      <c r="B69" s="5" t="s">
        <v>102</v>
      </c>
      <c r="C69" s="5" t="s">
        <v>108</v>
      </c>
      <c r="D69" s="5" t="s">
        <v>63</v>
      </c>
      <c r="E69" s="5" t="s">
        <v>49</v>
      </c>
      <c r="F69" s="5" t="s">
        <v>50</v>
      </c>
      <c r="G69" s="5" t="s">
        <v>106</v>
      </c>
      <c r="H69" s="5" t="s">
        <v>63</v>
      </c>
      <c r="I69" s="6" t="n">
        <v>2</v>
      </c>
      <c r="J69" s="6" t="n">
        <v>2</v>
      </c>
      <c r="K69" s="7" t="n">
        <f aca="false">IF(COUNT(I69:J69)=0,"",AVERAGE(I69:J69))</f>
        <v>2</v>
      </c>
      <c r="L69" s="5" t="s">
        <v>64</v>
      </c>
      <c r="M69" s="5"/>
      <c r="N69" s="8" t="s">
        <v>54</v>
      </c>
      <c r="O69" s="5"/>
    </row>
    <row r="70" customFormat="false" ht="15" hidden="false" customHeight="false" outlineLevel="0" collapsed="false">
      <c r="A70" s="5" t="s">
        <v>101</v>
      </c>
      <c r="B70" s="5" t="s">
        <v>102</v>
      </c>
      <c r="C70" s="5" t="s">
        <v>108</v>
      </c>
      <c r="D70" s="5" t="s">
        <v>63</v>
      </c>
      <c r="E70" s="5" t="s">
        <v>49</v>
      </c>
      <c r="F70" s="5" t="s">
        <v>50</v>
      </c>
      <c r="G70" s="5" t="s">
        <v>107</v>
      </c>
      <c r="H70" s="5" t="s">
        <v>63</v>
      </c>
      <c r="I70" s="6" t="n">
        <v>4</v>
      </c>
      <c r="J70" s="6" t="n">
        <v>4</v>
      </c>
      <c r="K70" s="7" t="n">
        <f aca="false">IF(COUNT(I70:J70)=0,"",AVERAGE(I70:J70))</f>
        <v>4</v>
      </c>
      <c r="L70" s="5" t="s">
        <v>64</v>
      </c>
      <c r="M70" s="5"/>
      <c r="N70" s="8" t="s">
        <v>54</v>
      </c>
      <c r="O70" s="5"/>
    </row>
    <row r="71" customFormat="false" ht="15" hidden="false" customHeight="false" outlineLevel="0" collapsed="false">
      <c r="A71" s="5" t="s">
        <v>101</v>
      </c>
      <c r="B71" s="5" t="s">
        <v>102</v>
      </c>
      <c r="C71" s="5" t="s">
        <v>110</v>
      </c>
      <c r="D71" s="5" t="s">
        <v>111</v>
      </c>
      <c r="E71" s="5" t="s">
        <v>112</v>
      </c>
      <c r="F71" s="5" t="s">
        <v>50</v>
      </c>
      <c r="G71" s="5" t="s">
        <v>51</v>
      </c>
      <c r="H71" s="5" t="s">
        <v>52</v>
      </c>
      <c r="I71" s="6" t="n">
        <v>200</v>
      </c>
      <c r="J71" s="6" t="n">
        <v>210</v>
      </c>
      <c r="K71" s="7" t="n">
        <f aca="false">IF(COUNT(I71:J71)=0,"",AVERAGE(I71:J71))</f>
        <v>205</v>
      </c>
      <c r="L71" s="5" t="s">
        <v>90</v>
      </c>
      <c r="M71" s="5"/>
      <c r="N71" s="8" t="s">
        <v>54</v>
      </c>
      <c r="O71" s="5"/>
    </row>
    <row r="72" customFormat="false" ht="15" hidden="false" customHeight="false" outlineLevel="0" collapsed="false">
      <c r="A72" s="5" t="s">
        <v>101</v>
      </c>
      <c r="B72" s="5" t="s">
        <v>102</v>
      </c>
      <c r="C72" s="5" t="s">
        <v>110</v>
      </c>
      <c r="D72" s="5" t="s">
        <v>111</v>
      </c>
      <c r="E72" s="5" t="s">
        <v>112</v>
      </c>
      <c r="F72" s="5" t="s">
        <v>50</v>
      </c>
      <c r="G72" s="5" t="s">
        <v>103</v>
      </c>
      <c r="H72" s="5" t="s">
        <v>57</v>
      </c>
      <c r="I72" s="6" t="n">
        <v>900</v>
      </c>
      <c r="J72" s="6" t="n">
        <v>1200</v>
      </c>
      <c r="K72" s="7" t="n">
        <f aca="false">IF(COUNT(I72:J72)=0,"",AVERAGE(I72:J72))</f>
        <v>1050</v>
      </c>
      <c r="L72" s="5" t="s">
        <v>90</v>
      </c>
      <c r="M72" s="5"/>
      <c r="N72" s="8" t="s">
        <v>54</v>
      </c>
      <c r="O72" s="5" t="s">
        <v>113</v>
      </c>
    </row>
    <row r="73" customFormat="false" ht="15" hidden="false" customHeight="false" outlineLevel="0" collapsed="false">
      <c r="A73" s="5" t="s">
        <v>101</v>
      </c>
      <c r="B73" s="5" t="s">
        <v>102</v>
      </c>
      <c r="C73" s="5" t="s">
        <v>110</v>
      </c>
      <c r="D73" s="5" t="s">
        <v>111</v>
      </c>
      <c r="E73" s="5" t="s">
        <v>112</v>
      </c>
      <c r="F73" s="5" t="s">
        <v>50</v>
      </c>
      <c r="G73" s="5" t="s">
        <v>104</v>
      </c>
      <c r="H73" s="5" t="s">
        <v>105</v>
      </c>
      <c r="I73" s="6" t="n">
        <v>5</v>
      </c>
      <c r="J73" s="6" t="n">
        <v>10</v>
      </c>
      <c r="K73" s="7" t="n">
        <f aca="false">IF(COUNT(I73:J73)=0,"",AVERAGE(I73:J73))</f>
        <v>7.5</v>
      </c>
      <c r="L73" s="5" t="s">
        <v>90</v>
      </c>
      <c r="M73" s="5"/>
      <c r="N73" s="8" t="s">
        <v>54</v>
      </c>
      <c r="O73" s="5" t="s">
        <v>114</v>
      </c>
    </row>
    <row r="74" customFormat="false" ht="15" hidden="false" customHeight="false" outlineLevel="0" collapsed="false">
      <c r="A74" s="5" t="s">
        <v>101</v>
      </c>
      <c r="B74" s="5" t="s">
        <v>102</v>
      </c>
      <c r="C74" s="5" t="s">
        <v>110</v>
      </c>
      <c r="D74" s="5" t="s">
        <v>111</v>
      </c>
      <c r="E74" s="5" t="s">
        <v>112</v>
      </c>
      <c r="F74" s="5" t="s">
        <v>50</v>
      </c>
      <c r="G74" s="5" t="s">
        <v>60</v>
      </c>
      <c r="H74" s="5" t="s">
        <v>61</v>
      </c>
      <c r="I74" s="6" t="n">
        <v>6</v>
      </c>
      <c r="J74" s="6" t="n">
        <v>6.1</v>
      </c>
      <c r="K74" s="7" t="n">
        <f aca="false">IF(COUNT(I74:J74)=0,"",AVERAGE(I74:J74))</f>
        <v>6.05</v>
      </c>
      <c r="L74" s="5" t="s">
        <v>90</v>
      </c>
      <c r="M74" s="5"/>
      <c r="N74" s="8" t="s">
        <v>54</v>
      </c>
      <c r="O74" s="5"/>
    </row>
    <row r="75" customFormat="false" ht="15" hidden="false" customHeight="false" outlineLevel="0" collapsed="false">
      <c r="A75" s="5" t="s">
        <v>101</v>
      </c>
      <c r="B75" s="5" t="s">
        <v>102</v>
      </c>
      <c r="C75" s="5" t="s">
        <v>110</v>
      </c>
      <c r="D75" s="5" t="s">
        <v>111</v>
      </c>
      <c r="E75" s="5" t="s">
        <v>112</v>
      </c>
      <c r="F75" s="5" t="s">
        <v>50</v>
      </c>
      <c r="G75" s="5" t="s">
        <v>106</v>
      </c>
      <c r="H75" s="5" t="s">
        <v>63</v>
      </c>
      <c r="I75" s="6" t="n">
        <v>5</v>
      </c>
      <c r="J75" s="6" t="n">
        <v>5</v>
      </c>
      <c r="K75" s="7" t="n">
        <f aca="false">IF(COUNT(I75:J75)=0,"",AVERAGE(I75:J75))</f>
        <v>5</v>
      </c>
      <c r="L75" s="5" t="s">
        <v>64</v>
      </c>
      <c r="M75" s="5"/>
      <c r="N75" s="8" t="s">
        <v>54</v>
      </c>
      <c r="O75" s="5"/>
    </row>
    <row r="76" customFormat="false" ht="15" hidden="false" customHeight="false" outlineLevel="0" collapsed="false">
      <c r="A76" s="5" t="s">
        <v>101</v>
      </c>
      <c r="B76" s="5" t="s">
        <v>102</v>
      </c>
      <c r="C76" s="5" t="s">
        <v>110</v>
      </c>
      <c r="D76" s="5" t="s">
        <v>111</v>
      </c>
      <c r="E76" s="5" t="s">
        <v>112</v>
      </c>
      <c r="F76" s="5" t="s">
        <v>50</v>
      </c>
      <c r="G76" s="5" t="s">
        <v>107</v>
      </c>
      <c r="H76" s="5" t="s">
        <v>63</v>
      </c>
      <c r="I76" s="6" t="n">
        <v>3</v>
      </c>
      <c r="J76" s="6" t="n">
        <v>3</v>
      </c>
      <c r="K76" s="7" t="n">
        <f aca="false">IF(COUNT(I76:J76)=0,"",AVERAGE(I76:J76))</f>
        <v>3</v>
      </c>
      <c r="L76" s="5" t="s">
        <v>64</v>
      </c>
      <c r="M76" s="5"/>
      <c r="N76" s="8" t="s">
        <v>54</v>
      </c>
      <c r="O76" s="5"/>
    </row>
    <row r="77" customFormat="false" ht="15" hidden="false" customHeight="false" outlineLevel="0" collapsed="false">
      <c r="A77" s="5" t="s">
        <v>101</v>
      </c>
      <c r="B77" s="5" t="s">
        <v>102</v>
      </c>
      <c r="C77" s="5" t="s">
        <v>115</v>
      </c>
      <c r="D77" s="5" t="s">
        <v>116</v>
      </c>
      <c r="E77" s="5" t="s">
        <v>117</v>
      </c>
      <c r="F77" s="5" t="s">
        <v>75</v>
      </c>
      <c r="G77" s="5" t="s">
        <v>51</v>
      </c>
      <c r="H77" s="5" t="s">
        <v>52</v>
      </c>
      <c r="I77" s="6" t="n">
        <v>3</v>
      </c>
      <c r="J77" s="6" t="n">
        <v>4</v>
      </c>
      <c r="K77" s="7" t="n">
        <f aca="false">IF(COUNT(I77:J77)=0,"",AVERAGE(I77:J77))</f>
        <v>3.5</v>
      </c>
      <c r="L77" s="5" t="s">
        <v>118</v>
      </c>
      <c r="M77" s="5"/>
      <c r="N77" s="8" t="s">
        <v>54</v>
      </c>
      <c r="O77" s="5"/>
    </row>
    <row r="78" customFormat="false" ht="15" hidden="false" customHeight="false" outlineLevel="0" collapsed="false">
      <c r="A78" s="5" t="s">
        <v>101</v>
      </c>
      <c r="B78" s="5" t="s">
        <v>102</v>
      </c>
      <c r="C78" s="5" t="s">
        <v>115</v>
      </c>
      <c r="D78" s="5" t="s">
        <v>116</v>
      </c>
      <c r="E78" s="5" t="s">
        <v>117</v>
      </c>
      <c r="F78" s="5" t="s">
        <v>75</v>
      </c>
      <c r="G78" s="5" t="s">
        <v>103</v>
      </c>
      <c r="H78" s="5" t="s">
        <v>57</v>
      </c>
      <c r="I78" s="6" t="n">
        <v>90</v>
      </c>
      <c r="J78" s="6" t="n">
        <v>100</v>
      </c>
      <c r="K78" s="7" t="n">
        <f aca="false">IF(COUNT(I78:J78)=0,"",AVERAGE(I78:J78))</f>
        <v>95</v>
      </c>
      <c r="L78" s="5" t="s">
        <v>118</v>
      </c>
      <c r="M78" s="5"/>
      <c r="N78" s="8" t="s">
        <v>54</v>
      </c>
      <c r="O78" s="5"/>
    </row>
    <row r="79" customFormat="false" ht="15" hidden="false" customHeight="false" outlineLevel="0" collapsed="false">
      <c r="A79" s="5" t="s">
        <v>101</v>
      </c>
      <c r="B79" s="5" t="s">
        <v>102</v>
      </c>
      <c r="C79" s="5" t="s">
        <v>115</v>
      </c>
      <c r="D79" s="5" t="s">
        <v>116</v>
      </c>
      <c r="E79" s="5" t="s">
        <v>117</v>
      </c>
      <c r="F79" s="5" t="s">
        <v>75</v>
      </c>
      <c r="G79" s="5" t="s">
        <v>104</v>
      </c>
      <c r="H79" s="5" t="s">
        <v>105</v>
      </c>
      <c r="I79" s="6" t="n">
        <v>3</v>
      </c>
      <c r="J79" s="6" t="n">
        <v>6</v>
      </c>
      <c r="K79" s="7" t="n">
        <f aca="false">IF(COUNT(I79:J79)=0,"",AVERAGE(I79:J79))</f>
        <v>4.5</v>
      </c>
      <c r="L79" s="5" t="s">
        <v>118</v>
      </c>
      <c r="M79" s="5"/>
      <c r="N79" s="8" t="s">
        <v>54</v>
      </c>
      <c r="O79" s="5"/>
    </row>
    <row r="80" customFormat="false" ht="15" hidden="false" customHeight="false" outlineLevel="0" collapsed="false">
      <c r="A80" s="5" t="s">
        <v>101</v>
      </c>
      <c r="B80" s="5" t="s">
        <v>102</v>
      </c>
      <c r="C80" s="5" t="s">
        <v>115</v>
      </c>
      <c r="D80" s="5" t="s">
        <v>116</v>
      </c>
      <c r="E80" s="5" t="s">
        <v>117</v>
      </c>
      <c r="F80" s="5" t="s">
        <v>75</v>
      </c>
      <c r="G80" s="5" t="s">
        <v>60</v>
      </c>
      <c r="H80" s="5" t="s">
        <v>61</v>
      </c>
      <c r="I80" s="6" t="n">
        <v>1.3</v>
      </c>
      <c r="J80" s="6" t="n">
        <v>1.32</v>
      </c>
      <c r="K80" s="7" t="n">
        <f aca="false">IF(COUNT(I80:J80)=0,"",AVERAGE(I80:J80))</f>
        <v>1.31</v>
      </c>
      <c r="L80" s="5" t="s">
        <v>118</v>
      </c>
      <c r="M80" s="5"/>
      <c r="N80" s="8" t="s">
        <v>54</v>
      </c>
      <c r="O80" s="5"/>
    </row>
    <row r="81" customFormat="false" ht="15" hidden="false" customHeight="false" outlineLevel="0" collapsed="false">
      <c r="A81" s="5" t="s">
        <v>101</v>
      </c>
      <c r="B81" s="5" t="s">
        <v>102</v>
      </c>
      <c r="C81" s="5" t="s">
        <v>115</v>
      </c>
      <c r="D81" s="5" t="s">
        <v>116</v>
      </c>
      <c r="E81" s="5" t="s">
        <v>117</v>
      </c>
      <c r="F81" s="5" t="s">
        <v>75</v>
      </c>
      <c r="G81" s="5" t="s">
        <v>106</v>
      </c>
      <c r="H81" s="5" t="s">
        <v>63</v>
      </c>
      <c r="I81" s="6" t="n">
        <v>3</v>
      </c>
      <c r="J81" s="6" t="n">
        <v>3</v>
      </c>
      <c r="K81" s="7" t="n">
        <f aca="false">IF(COUNT(I81:J81)=0,"",AVERAGE(I81:J81))</f>
        <v>3</v>
      </c>
      <c r="L81" s="5" t="s">
        <v>64</v>
      </c>
      <c r="M81" s="5"/>
      <c r="N81" s="8" t="s">
        <v>54</v>
      </c>
      <c r="O81" s="5"/>
    </row>
    <row r="82" customFormat="false" ht="15" hidden="false" customHeight="false" outlineLevel="0" collapsed="false">
      <c r="A82" s="5" t="s">
        <v>101</v>
      </c>
      <c r="B82" s="5" t="s">
        <v>102</v>
      </c>
      <c r="C82" s="5" t="s">
        <v>115</v>
      </c>
      <c r="D82" s="5" t="s">
        <v>116</v>
      </c>
      <c r="E82" s="5" t="s">
        <v>117</v>
      </c>
      <c r="F82" s="5" t="s">
        <v>75</v>
      </c>
      <c r="G82" s="5" t="s">
        <v>107</v>
      </c>
      <c r="H82" s="5" t="s">
        <v>63</v>
      </c>
      <c r="I82" s="6" t="n">
        <v>1</v>
      </c>
      <c r="J82" s="6" t="n">
        <v>1</v>
      </c>
      <c r="K82" s="7" t="n">
        <f aca="false">IF(COUNT(I82:J82)=0,"",AVERAGE(I82:J82))</f>
        <v>1</v>
      </c>
      <c r="L82" s="5" t="s">
        <v>64</v>
      </c>
      <c r="M82" s="5"/>
      <c r="N82" s="8" t="s">
        <v>54</v>
      </c>
      <c r="O82" s="5"/>
    </row>
    <row r="83" customFormat="false" ht="15" hidden="false" customHeight="false" outlineLevel="0" collapsed="false">
      <c r="A83" s="5" t="s">
        <v>119</v>
      </c>
      <c r="B83" s="5" t="s">
        <v>120</v>
      </c>
      <c r="C83" s="5" t="s">
        <v>47</v>
      </c>
      <c r="D83" s="5" t="s">
        <v>48</v>
      </c>
      <c r="E83" s="5" t="s">
        <v>49</v>
      </c>
      <c r="F83" s="5" t="s">
        <v>121</v>
      </c>
      <c r="G83" s="5" t="s">
        <v>51</v>
      </c>
      <c r="H83" s="5" t="s">
        <v>52</v>
      </c>
      <c r="I83" s="6" t="n">
        <v>193</v>
      </c>
      <c r="J83" s="6" t="n">
        <v>193</v>
      </c>
      <c r="K83" s="7" t="n">
        <f aca="false">IF(COUNT(I83:J83)=0,"",AVERAGE(I83:J83))</f>
        <v>193</v>
      </c>
      <c r="L83" s="5" t="s">
        <v>122</v>
      </c>
      <c r="M83" s="5"/>
      <c r="N83" s="8" t="s">
        <v>54</v>
      </c>
      <c r="O83" s="5" t="s">
        <v>123</v>
      </c>
    </row>
    <row r="84" customFormat="false" ht="15" hidden="false" customHeight="false" outlineLevel="0" collapsed="false">
      <c r="A84" s="5" t="s">
        <v>119</v>
      </c>
      <c r="B84" s="5" t="s">
        <v>120</v>
      </c>
      <c r="C84" s="5" t="s">
        <v>47</v>
      </c>
      <c r="D84" s="5" t="s">
        <v>48</v>
      </c>
      <c r="E84" s="5" t="s">
        <v>49</v>
      </c>
      <c r="F84" s="5" t="s">
        <v>121</v>
      </c>
      <c r="G84" s="5" t="s">
        <v>56</v>
      </c>
      <c r="H84" s="5" t="s">
        <v>57</v>
      </c>
      <c r="I84" s="6" t="n">
        <v>205</v>
      </c>
      <c r="J84" s="6" t="n">
        <v>340</v>
      </c>
      <c r="K84" s="7" t="n">
        <f aca="false">IF(COUNT(I84:J84)=0,"",AVERAGE(I84:J84))</f>
        <v>272.5</v>
      </c>
      <c r="L84" s="5" t="s">
        <v>122</v>
      </c>
      <c r="M84" s="5"/>
      <c r="N84" s="8" t="s">
        <v>54</v>
      </c>
      <c r="O84" s="5"/>
    </row>
    <row r="85" customFormat="false" ht="15" hidden="false" customHeight="false" outlineLevel="0" collapsed="false">
      <c r="A85" s="5" t="s">
        <v>119</v>
      </c>
      <c r="B85" s="5" t="s">
        <v>120</v>
      </c>
      <c r="C85" s="5" t="s">
        <v>47</v>
      </c>
      <c r="D85" s="5" t="s">
        <v>48</v>
      </c>
      <c r="E85" s="5" t="s">
        <v>49</v>
      </c>
      <c r="F85" s="5" t="s">
        <v>121</v>
      </c>
      <c r="G85" s="5" t="s">
        <v>58</v>
      </c>
      <c r="H85" s="5" t="s">
        <v>57</v>
      </c>
      <c r="I85" s="6" t="n">
        <v>515</v>
      </c>
      <c r="J85" s="6" t="n">
        <v>670</v>
      </c>
      <c r="K85" s="7" t="n">
        <f aca="false">IF(COUNT(I85:J85)=0,"",AVERAGE(I85:J85))</f>
        <v>592.5</v>
      </c>
      <c r="L85" s="5" t="s">
        <v>122</v>
      </c>
      <c r="M85" s="5"/>
      <c r="N85" s="8" t="s">
        <v>54</v>
      </c>
      <c r="O85" s="5"/>
    </row>
    <row r="86" customFormat="false" ht="15" hidden="false" customHeight="false" outlineLevel="0" collapsed="false">
      <c r="A86" s="5" t="s">
        <v>119</v>
      </c>
      <c r="B86" s="5" t="s">
        <v>120</v>
      </c>
      <c r="C86" s="5" t="s">
        <v>47</v>
      </c>
      <c r="D86" s="5" t="s">
        <v>48</v>
      </c>
      <c r="E86" s="5" t="s">
        <v>49</v>
      </c>
      <c r="F86" s="5" t="s">
        <v>121</v>
      </c>
      <c r="G86" s="5" t="s">
        <v>124</v>
      </c>
      <c r="H86" s="5" t="s">
        <v>125</v>
      </c>
      <c r="I86" s="6" t="n">
        <v>40</v>
      </c>
      <c r="J86" s="6" t="n">
        <v>60</v>
      </c>
      <c r="K86" s="7" t="n">
        <f aca="false">IF(COUNT(I86:J86)=0,"",AVERAGE(I86:J86))</f>
        <v>50</v>
      </c>
      <c r="L86" s="5" t="s">
        <v>122</v>
      </c>
      <c r="M86" s="5"/>
      <c r="N86" s="8" t="s">
        <v>54</v>
      </c>
      <c r="O86" s="5"/>
    </row>
    <row r="87" customFormat="false" ht="15" hidden="false" customHeight="false" outlineLevel="0" collapsed="false">
      <c r="A87" s="5" t="s">
        <v>119</v>
      </c>
      <c r="B87" s="5" t="s">
        <v>120</v>
      </c>
      <c r="C87" s="5" t="s">
        <v>47</v>
      </c>
      <c r="D87" s="5" t="s">
        <v>48</v>
      </c>
      <c r="E87" s="5" t="s">
        <v>49</v>
      </c>
      <c r="F87" s="5" t="s">
        <v>121</v>
      </c>
      <c r="G87" s="5" t="s">
        <v>60</v>
      </c>
      <c r="H87" s="5" t="s">
        <v>61</v>
      </c>
      <c r="I87" s="6" t="n">
        <v>8</v>
      </c>
      <c r="J87" s="6" t="n">
        <v>8</v>
      </c>
      <c r="K87" s="7" t="n">
        <f aca="false">IF(COUNT(I87:J87)=0,"",AVERAGE(I87:J87))</f>
        <v>8</v>
      </c>
      <c r="L87" s="5" t="s">
        <v>122</v>
      </c>
      <c r="M87" s="5"/>
      <c r="N87" s="8" t="s">
        <v>54</v>
      </c>
      <c r="O87" s="5"/>
    </row>
    <row r="88" customFormat="false" ht="15" hidden="false" customHeight="false" outlineLevel="0" collapsed="false">
      <c r="A88" s="5" t="s">
        <v>119</v>
      </c>
      <c r="B88" s="5" t="s">
        <v>120</v>
      </c>
      <c r="C88" s="5" t="s">
        <v>47</v>
      </c>
      <c r="D88" s="5" t="s">
        <v>48</v>
      </c>
      <c r="E88" s="5" t="s">
        <v>49</v>
      </c>
      <c r="F88" s="5" t="s">
        <v>121</v>
      </c>
      <c r="G88" s="5" t="s">
        <v>126</v>
      </c>
      <c r="H88" s="5" t="s">
        <v>127</v>
      </c>
      <c r="I88" s="6" t="n">
        <v>100</v>
      </c>
      <c r="J88" s="6" t="n">
        <v>140</v>
      </c>
      <c r="K88" s="7" t="n">
        <f aca="false">IF(COUNT(I88:J88)=0,"",AVERAGE(I88:J88))</f>
        <v>120</v>
      </c>
      <c r="L88" s="5" t="s">
        <v>122</v>
      </c>
      <c r="M88" s="5"/>
      <c r="N88" s="8" t="s">
        <v>54</v>
      </c>
      <c r="O88" s="5"/>
    </row>
    <row r="89" customFormat="false" ht="15" hidden="false" customHeight="false" outlineLevel="0" collapsed="false">
      <c r="A89" s="5" t="s">
        <v>119</v>
      </c>
      <c r="B89" s="5" t="s">
        <v>120</v>
      </c>
      <c r="C89" s="5" t="s">
        <v>47</v>
      </c>
      <c r="D89" s="5" t="s">
        <v>48</v>
      </c>
      <c r="E89" s="5" t="s">
        <v>49</v>
      </c>
      <c r="F89" s="5" t="s">
        <v>121</v>
      </c>
      <c r="G89" s="5" t="s">
        <v>128</v>
      </c>
      <c r="H89" s="5" t="s">
        <v>129</v>
      </c>
      <c r="I89" s="6"/>
      <c r="J89" s="6"/>
      <c r="K89" s="7" t="str">
        <f aca="false">IF(COUNT(I89:J89)=0,"",AVERAGE(I89:J89))</f>
        <v/>
      </c>
      <c r="L89" s="5" t="s">
        <v>122</v>
      </c>
      <c r="M89" s="5"/>
      <c r="N89" s="8" t="s">
        <v>54</v>
      </c>
      <c r="O89" s="5" t="s">
        <v>130</v>
      </c>
    </row>
    <row r="90" customFormat="false" ht="15" hidden="false" customHeight="false" outlineLevel="0" collapsed="false">
      <c r="A90" s="5" t="s">
        <v>119</v>
      </c>
      <c r="B90" s="5" t="s">
        <v>120</v>
      </c>
      <c r="C90" s="5" t="s">
        <v>131</v>
      </c>
      <c r="D90" s="5" t="s">
        <v>132</v>
      </c>
      <c r="E90" s="5" t="s">
        <v>49</v>
      </c>
      <c r="F90" s="5" t="s">
        <v>50</v>
      </c>
      <c r="G90" s="5" t="s">
        <v>51</v>
      </c>
      <c r="H90" s="5" t="s">
        <v>52</v>
      </c>
      <c r="I90" s="6" t="n">
        <v>243</v>
      </c>
      <c r="J90" s="6" t="n">
        <v>243</v>
      </c>
      <c r="K90" s="7" t="n">
        <f aca="false">IF(COUNT(I90:J90)=0,"",AVERAGE(I90:J90))</f>
        <v>243</v>
      </c>
      <c r="L90" s="5" t="s">
        <v>122</v>
      </c>
      <c r="M90" s="5"/>
      <c r="N90" s="8" t="s">
        <v>54</v>
      </c>
      <c r="O90" s="5" t="s">
        <v>133</v>
      </c>
    </row>
    <row r="91" customFormat="false" ht="15" hidden="false" customHeight="false" outlineLevel="0" collapsed="false">
      <c r="A91" s="5" t="s">
        <v>119</v>
      </c>
      <c r="B91" s="5" t="s">
        <v>120</v>
      </c>
      <c r="C91" s="5" t="s">
        <v>131</v>
      </c>
      <c r="D91" s="5" t="s">
        <v>132</v>
      </c>
      <c r="E91" s="5" t="s">
        <v>49</v>
      </c>
      <c r="F91" s="5" t="s">
        <v>50</v>
      </c>
      <c r="G91" s="5" t="s">
        <v>56</v>
      </c>
      <c r="H91" s="5" t="s">
        <v>57</v>
      </c>
      <c r="I91" s="6" t="n">
        <v>460</v>
      </c>
      <c r="J91" s="6" t="n">
        <v>500</v>
      </c>
      <c r="K91" s="7" t="n">
        <f aca="false">IF(COUNT(I91:J91)=0,"",AVERAGE(I91:J91))</f>
        <v>480</v>
      </c>
      <c r="L91" s="5" t="s">
        <v>122</v>
      </c>
      <c r="M91" s="5"/>
      <c r="N91" s="8" t="s">
        <v>54</v>
      </c>
      <c r="O91" s="5"/>
    </row>
    <row r="92" customFormat="false" ht="15" hidden="false" customHeight="false" outlineLevel="0" collapsed="false">
      <c r="A92" s="5" t="s">
        <v>119</v>
      </c>
      <c r="B92" s="5" t="s">
        <v>120</v>
      </c>
      <c r="C92" s="5" t="s">
        <v>131</v>
      </c>
      <c r="D92" s="5" t="s">
        <v>132</v>
      </c>
      <c r="E92" s="5" t="s">
        <v>49</v>
      </c>
      <c r="F92" s="5" t="s">
        <v>50</v>
      </c>
      <c r="G92" s="5" t="s">
        <v>58</v>
      </c>
      <c r="H92" s="5" t="s">
        <v>57</v>
      </c>
      <c r="I92" s="6" t="n">
        <v>1000</v>
      </c>
      <c r="J92" s="6" t="n">
        <v>1050</v>
      </c>
      <c r="K92" s="7" t="n">
        <f aca="false">IF(COUNT(I92:J92)=0,"",AVERAGE(I92:J92))</f>
        <v>1025</v>
      </c>
      <c r="L92" s="5" t="s">
        <v>122</v>
      </c>
      <c r="M92" s="5"/>
      <c r="N92" s="8" t="s">
        <v>54</v>
      </c>
      <c r="O92" s="5"/>
    </row>
    <row r="93" customFormat="false" ht="15" hidden="false" customHeight="false" outlineLevel="0" collapsed="false">
      <c r="A93" s="5" t="s">
        <v>119</v>
      </c>
      <c r="B93" s="5" t="s">
        <v>120</v>
      </c>
      <c r="C93" s="5" t="s">
        <v>131</v>
      </c>
      <c r="D93" s="5" t="s">
        <v>132</v>
      </c>
      <c r="E93" s="5" t="s">
        <v>49</v>
      </c>
      <c r="F93" s="5" t="s">
        <v>50</v>
      </c>
      <c r="G93" s="5" t="s">
        <v>124</v>
      </c>
      <c r="H93" s="5" t="s">
        <v>125</v>
      </c>
      <c r="I93" s="6" t="n">
        <v>50</v>
      </c>
      <c r="J93" s="6" t="n">
        <v>55</v>
      </c>
      <c r="K93" s="7" t="n">
        <f aca="false">IF(COUNT(I93:J93)=0,"",AVERAGE(I93:J93))</f>
        <v>52.5</v>
      </c>
      <c r="L93" s="5" t="s">
        <v>122</v>
      </c>
      <c r="M93" s="5"/>
      <c r="N93" s="8" t="s">
        <v>54</v>
      </c>
      <c r="O93" s="5"/>
    </row>
    <row r="94" customFormat="false" ht="15" hidden="false" customHeight="false" outlineLevel="0" collapsed="false">
      <c r="A94" s="5" t="s">
        <v>119</v>
      </c>
      <c r="B94" s="5" t="s">
        <v>120</v>
      </c>
      <c r="C94" s="5" t="s">
        <v>131</v>
      </c>
      <c r="D94" s="5" t="s">
        <v>132</v>
      </c>
      <c r="E94" s="5" t="s">
        <v>49</v>
      </c>
      <c r="F94" s="5" t="s">
        <v>50</v>
      </c>
      <c r="G94" s="5" t="s">
        <v>60</v>
      </c>
      <c r="H94" s="5" t="s">
        <v>61</v>
      </c>
      <c r="I94" s="6" t="n">
        <v>9.1</v>
      </c>
      <c r="J94" s="6" t="n">
        <v>9.1</v>
      </c>
      <c r="K94" s="7" t="n">
        <f aca="false">IF(COUNT(I94:J94)=0,"",AVERAGE(I94:J94))</f>
        <v>9.1</v>
      </c>
      <c r="L94" s="5" t="s">
        <v>122</v>
      </c>
      <c r="M94" s="5"/>
      <c r="N94" s="8" t="s">
        <v>54</v>
      </c>
      <c r="O94" s="5"/>
    </row>
    <row r="95" customFormat="false" ht="15" hidden="false" customHeight="false" outlineLevel="0" collapsed="false">
      <c r="A95" s="5" t="s">
        <v>119</v>
      </c>
      <c r="B95" s="5" t="s">
        <v>120</v>
      </c>
      <c r="C95" s="5" t="s">
        <v>131</v>
      </c>
      <c r="D95" s="5" t="s">
        <v>132</v>
      </c>
      <c r="E95" s="5" t="s">
        <v>49</v>
      </c>
      <c r="F95" s="5" t="s">
        <v>50</v>
      </c>
      <c r="G95" s="5" t="s">
        <v>126</v>
      </c>
      <c r="H95" s="5" t="s">
        <v>127</v>
      </c>
      <c r="I95" s="6" t="n">
        <v>60</v>
      </c>
      <c r="J95" s="6" t="n">
        <v>90</v>
      </c>
      <c r="K95" s="7" t="n">
        <f aca="false">IF(COUNT(I95:J95)=0,"",AVERAGE(I95:J95))</f>
        <v>75</v>
      </c>
      <c r="L95" s="5" t="s">
        <v>122</v>
      </c>
      <c r="M95" s="5"/>
      <c r="N95" s="8" t="s">
        <v>54</v>
      </c>
      <c r="O95" s="5"/>
    </row>
    <row r="96" customFormat="false" ht="15" hidden="false" customHeight="false" outlineLevel="0" collapsed="false">
      <c r="A96" s="5" t="s">
        <v>119</v>
      </c>
      <c r="B96" s="5" t="s">
        <v>120</v>
      </c>
      <c r="C96" s="5" t="s">
        <v>131</v>
      </c>
      <c r="D96" s="5" t="s">
        <v>132</v>
      </c>
      <c r="E96" s="5" t="s">
        <v>49</v>
      </c>
      <c r="F96" s="5" t="s">
        <v>50</v>
      </c>
      <c r="G96" s="5" t="s">
        <v>128</v>
      </c>
      <c r="H96" s="5" t="s">
        <v>129</v>
      </c>
      <c r="I96" s="6"/>
      <c r="J96" s="6"/>
      <c r="K96" s="7" t="str">
        <f aca="false">IF(COUNT(I96:J96)=0,"",AVERAGE(I96:J96))</f>
        <v/>
      </c>
      <c r="L96" s="5" t="s">
        <v>122</v>
      </c>
      <c r="M96" s="5"/>
      <c r="N96" s="8" t="s">
        <v>54</v>
      </c>
      <c r="O96" s="5" t="s">
        <v>130</v>
      </c>
    </row>
    <row r="97" customFormat="false" ht="15" hidden="false" customHeight="false" outlineLevel="0" collapsed="false">
      <c r="A97" s="5" t="s">
        <v>119</v>
      </c>
      <c r="B97" s="5" t="s">
        <v>120</v>
      </c>
      <c r="C97" s="5" t="s">
        <v>134</v>
      </c>
      <c r="D97" s="5" t="s">
        <v>135</v>
      </c>
      <c r="E97" s="5" t="s">
        <v>49</v>
      </c>
      <c r="F97" s="5" t="s">
        <v>50</v>
      </c>
      <c r="G97" s="5" t="s">
        <v>51</v>
      </c>
      <c r="H97" s="5" t="s">
        <v>52</v>
      </c>
      <c r="I97" s="6" t="n">
        <v>233</v>
      </c>
      <c r="J97" s="6" t="n">
        <v>233</v>
      </c>
      <c r="K97" s="7" t="n">
        <f aca="false">IF(COUNT(I97:J97)=0,"",AVERAGE(I97:J97))</f>
        <v>233</v>
      </c>
      <c r="L97" s="5" t="s">
        <v>122</v>
      </c>
      <c r="M97" s="5"/>
      <c r="N97" s="8" t="s">
        <v>54</v>
      </c>
      <c r="O97" s="5" t="s">
        <v>136</v>
      </c>
    </row>
    <row r="98" customFormat="false" ht="15" hidden="false" customHeight="false" outlineLevel="0" collapsed="false">
      <c r="A98" s="5" t="s">
        <v>119</v>
      </c>
      <c r="B98" s="5" t="s">
        <v>120</v>
      </c>
      <c r="C98" s="5" t="s">
        <v>134</v>
      </c>
      <c r="D98" s="5" t="s">
        <v>135</v>
      </c>
      <c r="E98" s="5" t="s">
        <v>49</v>
      </c>
      <c r="F98" s="5" t="s">
        <v>50</v>
      </c>
      <c r="G98" s="5" t="s">
        <v>56</v>
      </c>
      <c r="H98" s="5" t="s">
        <v>57</v>
      </c>
      <c r="I98" s="6" t="n">
        <v>410</v>
      </c>
      <c r="J98" s="6" t="n">
        <v>415</v>
      </c>
      <c r="K98" s="7" t="n">
        <f aca="false">IF(COUNT(I98:J98)=0,"",AVERAGE(I98:J98))</f>
        <v>412.5</v>
      </c>
      <c r="L98" s="5" t="s">
        <v>122</v>
      </c>
      <c r="M98" s="5"/>
      <c r="N98" s="8" t="s">
        <v>54</v>
      </c>
      <c r="O98" s="5"/>
    </row>
    <row r="99" customFormat="false" ht="15" hidden="false" customHeight="false" outlineLevel="0" collapsed="false">
      <c r="A99" s="5" t="s">
        <v>119</v>
      </c>
      <c r="B99" s="5" t="s">
        <v>120</v>
      </c>
      <c r="C99" s="5" t="s">
        <v>134</v>
      </c>
      <c r="D99" s="5" t="s">
        <v>135</v>
      </c>
      <c r="E99" s="5" t="s">
        <v>49</v>
      </c>
      <c r="F99" s="5" t="s">
        <v>50</v>
      </c>
      <c r="G99" s="5" t="s">
        <v>58</v>
      </c>
      <c r="H99" s="5" t="s">
        <v>57</v>
      </c>
      <c r="I99" s="6" t="n">
        <v>930</v>
      </c>
      <c r="J99" s="6" t="n">
        <v>960</v>
      </c>
      <c r="K99" s="7" t="n">
        <f aca="false">IF(COUNT(I99:J99)=0,"",AVERAGE(I99:J99))</f>
        <v>945</v>
      </c>
      <c r="L99" s="5" t="s">
        <v>122</v>
      </c>
      <c r="M99" s="5"/>
      <c r="N99" s="8" t="s">
        <v>54</v>
      </c>
      <c r="O99" s="5"/>
    </row>
    <row r="100" customFormat="false" ht="15" hidden="false" customHeight="false" outlineLevel="0" collapsed="false">
      <c r="A100" s="5" t="s">
        <v>119</v>
      </c>
      <c r="B100" s="5" t="s">
        <v>120</v>
      </c>
      <c r="C100" s="5" t="s">
        <v>134</v>
      </c>
      <c r="D100" s="5" t="s">
        <v>135</v>
      </c>
      <c r="E100" s="5" t="s">
        <v>49</v>
      </c>
      <c r="F100" s="5" t="s">
        <v>50</v>
      </c>
      <c r="G100" s="5" t="s">
        <v>124</v>
      </c>
      <c r="H100" s="5" t="s">
        <v>125</v>
      </c>
      <c r="I100" s="6" t="n">
        <v>45</v>
      </c>
      <c r="J100" s="6" t="n">
        <v>45</v>
      </c>
      <c r="K100" s="7" t="n">
        <f aca="false">IF(COUNT(I100:J100)=0,"",AVERAGE(I100:J100))</f>
        <v>45</v>
      </c>
      <c r="L100" s="5" t="s">
        <v>122</v>
      </c>
      <c r="M100" s="5"/>
      <c r="N100" s="8" t="s">
        <v>54</v>
      </c>
      <c r="O100" s="5"/>
    </row>
    <row r="101" customFormat="false" ht="15" hidden="false" customHeight="false" outlineLevel="0" collapsed="false">
      <c r="A101" s="5" t="s">
        <v>119</v>
      </c>
      <c r="B101" s="5" t="s">
        <v>120</v>
      </c>
      <c r="C101" s="5" t="s">
        <v>134</v>
      </c>
      <c r="D101" s="5" t="s">
        <v>135</v>
      </c>
      <c r="E101" s="5" t="s">
        <v>49</v>
      </c>
      <c r="F101" s="5" t="s">
        <v>50</v>
      </c>
      <c r="G101" s="5" t="s">
        <v>60</v>
      </c>
      <c r="H101" s="5" t="s">
        <v>61</v>
      </c>
      <c r="I101" s="6" t="n">
        <v>8.4</v>
      </c>
      <c r="J101" s="6" t="n">
        <v>8.4</v>
      </c>
      <c r="K101" s="7" t="n">
        <f aca="false">IF(COUNT(I101:J101)=0,"",AVERAGE(I101:J101))</f>
        <v>8.4</v>
      </c>
      <c r="L101" s="5" t="s">
        <v>122</v>
      </c>
      <c r="M101" s="5"/>
      <c r="N101" s="8" t="s">
        <v>54</v>
      </c>
      <c r="O101" s="5"/>
    </row>
    <row r="102" customFormat="false" ht="15" hidden="false" customHeight="false" outlineLevel="0" collapsed="false">
      <c r="A102" s="5" t="s">
        <v>119</v>
      </c>
      <c r="B102" s="5" t="s">
        <v>120</v>
      </c>
      <c r="C102" s="5" t="s">
        <v>134</v>
      </c>
      <c r="D102" s="5" t="s">
        <v>135</v>
      </c>
      <c r="E102" s="5" t="s">
        <v>49</v>
      </c>
      <c r="F102" s="5" t="s">
        <v>50</v>
      </c>
      <c r="G102" s="5" t="s">
        <v>126</v>
      </c>
      <c r="H102" s="5" t="s">
        <v>127</v>
      </c>
      <c r="I102" s="6" t="n">
        <v>60</v>
      </c>
      <c r="J102" s="6" t="n">
        <v>90</v>
      </c>
      <c r="K102" s="7" t="n">
        <f aca="false">IF(COUNT(I102:J102)=0,"",AVERAGE(I102:J102))</f>
        <v>75</v>
      </c>
      <c r="L102" s="5" t="s">
        <v>122</v>
      </c>
      <c r="M102" s="5"/>
      <c r="N102" s="8" t="s">
        <v>54</v>
      </c>
      <c r="O102" s="5"/>
    </row>
    <row r="103" customFormat="false" ht="15" hidden="false" customHeight="false" outlineLevel="0" collapsed="false">
      <c r="A103" s="5" t="s">
        <v>119</v>
      </c>
      <c r="B103" s="5" t="s">
        <v>120</v>
      </c>
      <c r="C103" s="5" t="s">
        <v>134</v>
      </c>
      <c r="D103" s="5" t="s">
        <v>135</v>
      </c>
      <c r="E103" s="5" t="s">
        <v>49</v>
      </c>
      <c r="F103" s="5" t="s">
        <v>50</v>
      </c>
      <c r="G103" s="5" t="s">
        <v>128</v>
      </c>
      <c r="H103" s="5" t="s">
        <v>129</v>
      </c>
      <c r="I103" s="6"/>
      <c r="J103" s="6"/>
      <c r="K103" s="7" t="str">
        <f aca="false">IF(COUNT(I103:J103)=0,"",AVERAGE(I103:J103))</f>
        <v/>
      </c>
      <c r="L103" s="5" t="s">
        <v>122</v>
      </c>
      <c r="M103" s="5"/>
      <c r="N103" s="8" t="s">
        <v>54</v>
      </c>
      <c r="O103" s="5" t="s">
        <v>130</v>
      </c>
    </row>
    <row r="104" customFormat="false" ht="15" hidden="false" customHeight="false" outlineLevel="0" collapsed="false">
      <c r="A104" s="5" t="s">
        <v>119</v>
      </c>
      <c r="B104" s="5" t="s">
        <v>120</v>
      </c>
      <c r="C104" s="5" t="s">
        <v>137</v>
      </c>
      <c r="D104" s="5" t="s">
        <v>63</v>
      </c>
      <c r="E104" s="5" t="s">
        <v>49</v>
      </c>
      <c r="F104" s="5" t="s">
        <v>50</v>
      </c>
      <c r="G104" s="5" t="s">
        <v>51</v>
      </c>
      <c r="H104" s="5" t="s">
        <v>52</v>
      </c>
      <c r="I104" s="6" t="n">
        <v>203</v>
      </c>
      <c r="J104" s="6" t="n">
        <v>203</v>
      </c>
      <c r="K104" s="7" t="n">
        <f aca="false">IF(COUNT(I104:J104)=0,"",AVERAGE(I104:J104))</f>
        <v>203</v>
      </c>
      <c r="L104" s="5" t="s">
        <v>122</v>
      </c>
      <c r="M104" s="5"/>
      <c r="N104" s="8" t="s">
        <v>54</v>
      </c>
      <c r="O104" s="5" t="s">
        <v>138</v>
      </c>
    </row>
    <row r="105" customFormat="false" ht="15" hidden="false" customHeight="false" outlineLevel="0" collapsed="false">
      <c r="A105" s="5" t="s">
        <v>119</v>
      </c>
      <c r="B105" s="5" t="s">
        <v>120</v>
      </c>
      <c r="C105" s="5" t="s">
        <v>137</v>
      </c>
      <c r="D105" s="5" t="s">
        <v>63</v>
      </c>
      <c r="E105" s="5" t="s">
        <v>49</v>
      </c>
      <c r="F105" s="5" t="s">
        <v>50</v>
      </c>
      <c r="G105" s="5" t="s">
        <v>56</v>
      </c>
      <c r="H105" s="5" t="s">
        <v>57</v>
      </c>
      <c r="I105" s="6" t="n">
        <v>480</v>
      </c>
      <c r="J105" s="6" t="n">
        <v>480</v>
      </c>
      <c r="K105" s="7" t="n">
        <f aca="false">IF(COUNT(I105:J105)=0,"",AVERAGE(I105:J105))</f>
        <v>480</v>
      </c>
      <c r="L105" s="5" t="s">
        <v>122</v>
      </c>
      <c r="M105" s="5"/>
      <c r="N105" s="8" t="s">
        <v>54</v>
      </c>
      <c r="O105" s="5"/>
    </row>
    <row r="106" customFormat="false" ht="15" hidden="false" customHeight="false" outlineLevel="0" collapsed="false">
      <c r="A106" s="5" t="s">
        <v>119</v>
      </c>
      <c r="B106" s="5" t="s">
        <v>120</v>
      </c>
      <c r="C106" s="5" t="s">
        <v>137</v>
      </c>
      <c r="D106" s="5" t="s">
        <v>63</v>
      </c>
      <c r="E106" s="5" t="s">
        <v>49</v>
      </c>
      <c r="F106" s="5" t="s">
        <v>50</v>
      </c>
      <c r="G106" s="5" t="s">
        <v>58</v>
      </c>
      <c r="H106" s="5" t="s">
        <v>57</v>
      </c>
      <c r="I106" s="6" t="n">
        <v>834</v>
      </c>
      <c r="J106" s="6" t="n">
        <v>834</v>
      </c>
      <c r="K106" s="7" t="n">
        <f aca="false">IF(COUNT(I106:J106)=0,"",AVERAGE(I106:J106))</f>
        <v>834</v>
      </c>
      <c r="L106" s="5" t="s">
        <v>122</v>
      </c>
      <c r="M106" s="5"/>
      <c r="N106" s="8" t="s">
        <v>54</v>
      </c>
      <c r="O106" s="5"/>
    </row>
    <row r="107" customFormat="false" ht="15" hidden="false" customHeight="false" outlineLevel="0" collapsed="false">
      <c r="A107" s="5" t="s">
        <v>119</v>
      </c>
      <c r="B107" s="5" t="s">
        <v>120</v>
      </c>
      <c r="C107" s="5" t="s">
        <v>137</v>
      </c>
      <c r="D107" s="5" t="s">
        <v>63</v>
      </c>
      <c r="E107" s="5" t="s">
        <v>49</v>
      </c>
      <c r="F107" s="5" t="s">
        <v>50</v>
      </c>
      <c r="G107" s="5" t="s">
        <v>124</v>
      </c>
      <c r="H107" s="5" t="s">
        <v>125</v>
      </c>
      <c r="I107" s="6" t="n">
        <v>45</v>
      </c>
      <c r="J107" s="6" t="n">
        <v>45</v>
      </c>
      <c r="K107" s="7" t="n">
        <f aca="false">IF(COUNT(I107:J107)=0,"",AVERAGE(I107:J107))</f>
        <v>45</v>
      </c>
      <c r="L107" s="5" t="s">
        <v>122</v>
      </c>
      <c r="M107" s="5"/>
      <c r="N107" s="8" t="s">
        <v>54</v>
      </c>
      <c r="O107" s="5"/>
    </row>
    <row r="108" customFormat="false" ht="15" hidden="false" customHeight="false" outlineLevel="0" collapsed="false">
      <c r="A108" s="5" t="s">
        <v>119</v>
      </c>
      <c r="B108" s="5" t="s">
        <v>120</v>
      </c>
      <c r="C108" s="5" t="s">
        <v>137</v>
      </c>
      <c r="D108" s="5" t="s">
        <v>63</v>
      </c>
      <c r="E108" s="5" t="s">
        <v>49</v>
      </c>
      <c r="F108" s="5" t="s">
        <v>50</v>
      </c>
      <c r="G108" s="5" t="s">
        <v>60</v>
      </c>
      <c r="H108" s="5" t="s">
        <v>61</v>
      </c>
      <c r="I108" s="6" t="n">
        <v>9.9</v>
      </c>
      <c r="J108" s="6" t="n">
        <v>9.9</v>
      </c>
      <c r="K108" s="7" t="n">
        <f aca="false">IF(COUNT(I108:J108)=0,"",AVERAGE(I108:J108))</f>
        <v>9.9</v>
      </c>
      <c r="L108" s="5" t="s">
        <v>122</v>
      </c>
      <c r="M108" s="5"/>
      <c r="N108" s="8" t="s">
        <v>54</v>
      </c>
      <c r="O108" s="5"/>
    </row>
    <row r="109" customFormat="false" ht="15" hidden="false" customHeight="false" outlineLevel="0" collapsed="false">
      <c r="A109" s="5" t="s">
        <v>119</v>
      </c>
      <c r="B109" s="5" t="s">
        <v>120</v>
      </c>
      <c r="C109" s="5" t="s">
        <v>137</v>
      </c>
      <c r="D109" s="5" t="s">
        <v>63</v>
      </c>
      <c r="E109" s="5" t="s">
        <v>49</v>
      </c>
      <c r="F109" s="5" t="s">
        <v>50</v>
      </c>
      <c r="G109" s="5" t="s">
        <v>126</v>
      </c>
      <c r="H109" s="5" t="s">
        <v>127</v>
      </c>
      <c r="I109" s="6" t="n">
        <v>74</v>
      </c>
      <c r="J109" s="6" t="n">
        <v>81</v>
      </c>
      <c r="K109" s="7" t="n">
        <f aca="false">IF(COUNT(I109:J109)=0,"",AVERAGE(I109:J109))</f>
        <v>77.5</v>
      </c>
      <c r="L109" s="5" t="s">
        <v>122</v>
      </c>
      <c r="M109" s="5"/>
      <c r="N109" s="8" t="s">
        <v>54</v>
      </c>
      <c r="O109" s="5"/>
    </row>
    <row r="110" customFormat="false" ht="15" hidden="false" customHeight="false" outlineLevel="0" collapsed="false">
      <c r="A110" s="5" t="s">
        <v>119</v>
      </c>
      <c r="B110" s="5" t="s">
        <v>120</v>
      </c>
      <c r="C110" s="5" t="s">
        <v>137</v>
      </c>
      <c r="D110" s="5" t="s">
        <v>63</v>
      </c>
      <c r="E110" s="5" t="s">
        <v>49</v>
      </c>
      <c r="F110" s="5" t="s">
        <v>50</v>
      </c>
      <c r="G110" s="5" t="s">
        <v>128</v>
      </c>
      <c r="H110" s="5" t="s">
        <v>129</v>
      </c>
      <c r="I110" s="6"/>
      <c r="J110" s="6"/>
      <c r="K110" s="7" t="str">
        <f aca="false">IF(COUNT(I110:J110)=0,"",AVERAGE(I110:J110))</f>
        <v/>
      </c>
      <c r="L110" s="5" t="s">
        <v>122</v>
      </c>
      <c r="M110" s="5"/>
      <c r="N110" s="8" t="s">
        <v>54</v>
      </c>
      <c r="O110" s="5" t="s">
        <v>130</v>
      </c>
    </row>
    <row r="111" customFormat="false" ht="15" hidden="false" customHeight="false" outlineLevel="0" collapsed="false">
      <c r="A111" s="5" t="s">
        <v>119</v>
      </c>
      <c r="B111" s="5" t="s">
        <v>120</v>
      </c>
      <c r="C111" s="5" t="s">
        <v>139</v>
      </c>
      <c r="D111" s="5" t="s">
        <v>140</v>
      </c>
      <c r="E111" s="5" t="s">
        <v>141</v>
      </c>
      <c r="F111" s="5" t="s">
        <v>142</v>
      </c>
      <c r="G111" s="5" t="s">
        <v>51</v>
      </c>
      <c r="H111" s="5" t="s">
        <v>52</v>
      </c>
      <c r="I111" s="6" t="n">
        <v>40</v>
      </c>
      <c r="J111" s="6" t="n">
        <v>75</v>
      </c>
      <c r="K111" s="7" t="n">
        <f aca="false">IF(COUNT(I111:J111)=0,"",AVERAGE(I111:J111))</f>
        <v>57.5</v>
      </c>
      <c r="L111" s="5" t="s">
        <v>122</v>
      </c>
      <c r="M111" s="5"/>
      <c r="N111" s="8" t="s">
        <v>54</v>
      </c>
      <c r="O111" s="5" t="s">
        <v>143</v>
      </c>
    </row>
    <row r="112" customFormat="false" ht="15" hidden="false" customHeight="false" outlineLevel="0" collapsed="false">
      <c r="A112" s="5" t="s">
        <v>119</v>
      </c>
      <c r="B112" s="5" t="s">
        <v>120</v>
      </c>
      <c r="C112" s="5" t="s">
        <v>139</v>
      </c>
      <c r="D112" s="5" t="s">
        <v>140</v>
      </c>
      <c r="E112" s="5" t="s">
        <v>141</v>
      </c>
      <c r="F112" s="5" t="s">
        <v>142</v>
      </c>
      <c r="G112" s="5" t="s">
        <v>56</v>
      </c>
      <c r="H112" s="5" t="s">
        <v>57</v>
      </c>
      <c r="I112" s="6" t="n">
        <v>350</v>
      </c>
      <c r="J112" s="6" t="n">
        <v>600</v>
      </c>
      <c r="K112" s="7" t="n">
        <f aca="false">IF(COUNT(I112:J112)=0,"",AVERAGE(I112:J112))</f>
        <v>475</v>
      </c>
      <c r="L112" s="5" t="s">
        <v>122</v>
      </c>
      <c r="M112" s="5"/>
      <c r="N112" s="8" t="s">
        <v>54</v>
      </c>
      <c r="O112" s="5"/>
    </row>
    <row r="113" customFormat="false" ht="15" hidden="false" customHeight="false" outlineLevel="0" collapsed="false">
      <c r="A113" s="5" t="s">
        <v>119</v>
      </c>
      <c r="B113" s="5" t="s">
        <v>120</v>
      </c>
      <c r="C113" s="5" t="s">
        <v>139</v>
      </c>
      <c r="D113" s="5" t="s">
        <v>140</v>
      </c>
      <c r="E113" s="5" t="s">
        <v>141</v>
      </c>
      <c r="F113" s="5" t="s">
        <v>142</v>
      </c>
      <c r="G113" s="5" t="s">
        <v>58</v>
      </c>
      <c r="H113" s="5" t="s">
        <v>57</v>
      </c>
      <c r="I113" s="6" t="n">
        <v>1070</v>
      </c>
      <c r="J113" s="6" t="n">
        <v>1300</v>
      </c>
      <c r="K113" s="7" t="n">
        <f aca="false">IF(COUNT(I113:J113)=0,"",AVERAGE(I113:J113))</f>
        <v>1185</v>
      </c>
      <c r="L113" s="5" t="s">
        <v>122</v>
      </c>
      <c r="M113" s="5"/>
      <c r="N113" s="8" t="s">
        <v>54</v>
      </c>
      <c r="O113" s="5"/>
    </row>
    <row r="114" customFormat="false" ht="15" hidden="false" customHeight="false" outlineLevel="0" collapsed="false">
      <c r="A114" s="5" t="s">
        <v>119</v>
      </c>
      <c r="B114" s="5" t="s">
        <v>120</v>
      </c>
      <c r="C114" s="5" t="s">
        <v>139</v>
      </c>
      <c r="D114" s="5" t="s">
        <v>140</v>
      </c>
      <c r="E114" s="5" t="s">
        <v>141</v>
      </c>
      <c r="F114" s="5" t="s">
        <v>142</v>
      </c>
      <c r="G114" s="5" t="s">
        <v>124</v>
      </c>
      <c r="H114" s="5" t="s">
        <v>125</v>
      </c>
      <c r="I114" s="6" t="n">
        <v>10</v>
      </c>
      <c r="J114" s="6" t="n">
        <v>15</v>
      </c>
      <c r="K114" s="7" t="n">
        <f aca="false">IF(COUNT(I114:J114)=0,"",AVERAGE(I114:J114))</f>
        <v>12.5</v>
      </c>
      <c r="L114" s="5" t="s">
        <v>122</v>
      </c>
      <c r="M114" s="5"/>
      <c r="N114" s="8" t="s">
        <v>54</v>
      </c>
      <c r="O114" s="5"/>
    </row>
    <row r="115" customFormat="false" ht="15" hidden="false" customHeight="false" outlineLevel="0" collapsed="false">
      <c r="A115" s="5" t="s">
        <v>119</v>
      </c>
      <c r="B115" s="5" t="s">
        <v>120</v>
      </c>
      <c r="C115" s="5" t="s">
        <v>139</v>
      </c>
      <c r="D115" s="5" t="s">
        <v>140</v>
      </c>
      <c r="E115" s="5" t="s">
        <v>141</v>
      </c>
      <c r="F115" s="5" t="s">
        <v>142</v>
      </c>
      <c r="G115" s="5" t="s">
        <v>60</v>
      </c>
      <c r="H115" s="5" t="s">
        <v>61</v>
      </c>
      <c r="I115" s="6" t="n">
        <v>6.45</v>
      </c>
      <c r="J115" s="6" t="n">
        <v>6.45</v>
      </c>
      <c r="K115" s="7" t="n">
        <f aca="false">IF(COUNT(I115:J115)=0,"",AVERAGE(I115:J115))</f>
        <v>6.45</v>
      </c>
      <c r="L115" s="5" t="s">
        <v>122</v>
      </c>
      <c r="M115" s="5"/>
      <c r="N115" s="8" t="s">
        <v>54</v>
      </c>
      <c r="O115" s="5"/>
    </row>
    <row r="116" customFormat="false" ht="15" hidden="false" customHeight="false" outlineLevel="0" collapsed="false">
      <c r="A116" s="5" t="s">
        <v>119</v>
      </c>
      <c r="B116" s="5" t="s">
        <v>120</v>
      </c>
      <c r="C116" s="5" t="s">
        <v>139</v>
      </c>
      <c r="D116" s="5" t="s">
        <v>140</v>
      </c>
      <c r="E116" s="5" t="s">
        <v>141</v>
      </c>
      <c r="F116" s="5" t="s">
        <v>142</v>
      </c>
      <c r="G116" s="5" t="s">
        <v>126</v>
      </c>
      <c r="H116" s="5" t="s">
        <v>127</v>
      </c>
      <c r="I116" s="6" t="n">
        <v>100</v>
      </c>
      <c r="J116" s="6" t="n">
        <v>150</v>
      </c>
      <c r="K116" s="7" t="n">
        <f aca="false">IF(COUNT(I116:J116)=0,"",AVERAGE(I116:J116))</f>
        <v>125</v>
      </c>
      <c r="L116" s="5" t="s">
        <v>122</v>
      </c>
      <c r="M116" s="5"/>
      <c r="N116" s="8" t="s">
        <v>54</v>
      </c>
      <c r="O116" s="5"/>
    </row>
    <row r="117" customFormat="false" ht="15" hidden="false" customHeight="false" outlineLevel="0" collapsed="false">
      <c r="A117" s="5" t="s">
        <v>119</v>
      </c>
      <c r="B117" s="5" t="s">
        <v>120</v>
      </c>
      <c r="C117" s="5" t="s">
        <v>139</v>
      </c>
      <c r="D117" s="5" t="s">
        <v>140</v>
      </c>
      <c r="E117" s="5" t="s">
        <v>141</v>
      </c>
      <c r="F117" s="5" t="s">
        <v>142</v>
      </c>
      <c r="G117" s="5" t="s">
        <v>128</v>
      </c>
      <c r="H117" s="5" t="s">
        <v>129</v>
      </c>
      <c r="I117" s="6"/>
      <c r="J117" s="6"/>
      <c r="K117" s="7" t="str">
        <f aca="false">IF(COUNT(I117:J117)=0,"",AVERAGE(I117:J117))</f>
        <v/>
      </c>
      <c r="L117" s="5" t="s">
        <v>122</v>
      </c>
      <c r="M117" s="5"/>
      <c r="N117" s="8" t="s">
        <v>54</v>
      </c>
      <c r="O117" s="5" t="s">
        <v>130</v>
      </c>
    </row>
    <row r="118" customFormat="false" ht="15" hidden="false" customHeight="false" outlineLevel="0" collapsed="false">
      <c r="A118" s="5" t="s">
        <v>119</v>
      </c>
      <c r="B118" s="5" t="s">
        <v>120</v>
      </c>
      <c r="C118" s="5" t="s">
        <v>144</v>
      </c>
      <c r="D118" s="5" t="s">
        <v>63</v>
      </c>
      <c r="E118" s="5" t="s">
        <v>145</v>
      </c>
      <c r="F118" s="5" t="s">
        <v>146</v>
      </c>
      <c r="G118" s="5" t="s">
        <v>51</v>
      </c>
      <c r="H118" s="5" t="s">
        <v>52</v>
      </c>
      <c r="I118" s="6" t="n">
        <v>44</v>
      </c>
      <c r="J118" s="6" t="n">
        <v>45</v>
      </c>
      <c r="K118" s="7" t="n">
        <f aca="false">IF(COUNT(I118:J118)=0,"",AVERAGE(I118:J118))</f>
        <v>44.5</v>
      </c>
      <c r="L118" s="5" t="s">
        <v>147</v>
      </c>
      <c r="M118" s="5"/>
      <c r="N118" s="8" t="s">
        <v>54</v>
      </c>
      <c r="O118" s="5" t="s">
        <v>148</v>
      </c>
    </row>
    <row r="119" customFormat="false" ht="15" hidden="false" customHeight="false" outlineLevel="0" collapsed="false">
      <c r="A119" s="5" t="s">
        <v>119</v>
      </c>
      <c r="B119" s="5" t="s">
        <v>120</v>
      </c>
      <c r="C119" s="5" t="s">
        <v>144</v>
      </c>
      <c r="D119" s="5" t="s">
        <v>63</v>
      </c>
      <c r="E119" s="5" t="s">
        <v>145</v>
      </c>
      <c r="F119" s="5" t="s">
        <v>146</v>
      </c>
      <c r="G119" s="5" t="s">
        <v>56</v>
      </c>
      <c r="H119" s="5" t="s">
        <v>57</v>
      </c>
      <c r="I119" s="6" t="n">
        <v>150</v>
      </c>
      <c r="J119" s="6" t="n">
        <v>195</v>
      </c>
      <c r="K119" s="7" t="n">
        <f aca="false">IF(COUNT(I119:J119)=0,"",AVERAGE(I119:J119))</f>
        <v>172.5</v>
      </c>
      <c r="L119" s="5" t="s">
        <v>147</v>
      </c>
      <c r="M119" s="5"/>
      <c r="N119" s="8" t="s">
        <v>54</v>
      </c>
      <c r="O119" s="5"/>
    </row>
    <row r="120" customFormat="false" ht="15" hidden="false" customHeight="false" outlineLevel="0" collapsed="false">
      <c r="A120" s="5" t="s">
        <v>119</v>
      </c>
      <c r="B120" s="5" t="s">
        <v>120</v>
      </c>
      <c r="C120" s="5" t="s">
        <v>144</v>
      </c>
      <c r="D120" s="5" t="s">
        <v>63</v>
      </c>
      <c r="E120" s="5" t="s">
        <v>145</v>
      </c>
      <c r="F120" s="5" t="s">
        <v>146</v>
      </c>
      <c r="G120" s="5" t="s">
        <v>58</v>
      </c>
      <c r="H120" s="5" t="s">
        <v>57</v>
      </c>
      <c r="I120" s="6" t="n">
        <v>220</v>
      </c>
      <c r="J120" s="6" t="n">
        <v>280</v>
      </c>
      <c r="K120" s="7" t="n">
        <f aca="false">IF(COUNT(I120:J120)=0,"",AVERAGE(I120:J120))</f>
        <v>250</v>
      </c>
      <c r="L120" s="5" t="s">
        <v>147</v>
      </c>
      <c r="M120" s="5"/>
      <c r="N120" s="8" t="s">
        <v>54</v>
      </c>
      <c r="O120" s="5"/>
    </row>
    <row r="121" customFormat="false" ht="15" hidden="false" customHeight="false" outlineLevel="0" collapsed="false">
      <c r="A121" s="5" t="s">
        <v>119</v>
      </c>
      <c r="B121" s="5" t="s">
        <v>120</v>
      </c>
      <c r="C121" s="5" t="s">
        <v>144</v>
      </c>
      <c r="D121" s="5" t="s">
        <v>63</v>
      </c>
      <c r="E121" s="5" t="s">
        <v>145</v>
      </c>
      <c r="F121" s="5" t="s">
        <v>146</v>
      </c>
      <c r="G121" s="5" t="s">
        <v>124</v>
      </c>
      <c r="H121" s="5" t="s">
        <v>125</v>
      </c>
      <c r="I121" s="6" t="n">
        <v>10</v>
      </c>
      <c r="J121" s="6" t="n">
        <v>17</v>
      </c>
      <c r="K121" s="7" t="n">
        <f aca="false">IF(COUNT(I121:J121)=0,"",AVERAGE(I121:J121))</f>
        <v>13.5</v>
      </c>
      <c r="L121" s="5" t="s">
        <v>147</v>
      </c>
      <c r="M121" s="5"/>
      <c r="N121" s="8" t="s">
        <v>54</v>
      </c>
      <c r="O121" s="5"/>
    </row>
    <row r="122" customFormat="false" ht="15" hidden="false" customHeight="false" outlineLevel="0" collapsed="false">
      <c r="A122" s="5" t="s">
        <v>119</v>
      </c>
      <c r="B122" s="5" t="s">
        <v>120</v>
      </c>
      <c r="C122" s="5" t="s">
        <v>144</v>
      </c>
      <c r="D122" s="5" t="s">
        <v>63</v>
      </c>
      <c r="E122" s="5" t="s">
        <v>145</v>
      </c>
      <c r="F122" s="5" t="s">
        <v>146</v>
      </c>
      <c r="G122" s="5" t="s">
        <v>60</v>
      </c>
      <c r="H122" s="5" t="s">
        <v>61</v>
      </c>
      <c r="I122" s="6" t="n">
        <v>1.84</v>
      </c>
      <c r="J122" s="6" t="n">
        <v>1.84</v>
      </c>
      <c r="K122" s="7" t="n">
        <f aca="false">IF(COUNT(I122:J122)=0,"",AVERAGE(I122:J122))</f>
        <v>1.84</v>
      </c>
      <c r="L122" s="5" t="s">
        <v>147</v>
      </c>
      <c r="M122" s="5"/>
      <c r="N122" s="8" t="s">
        <v>54</v>
      </c>
      <c r="O122" s="5"/>
    </row>
    <row r="123" customFormat="false" ht="15" hidden="false" customHeight="false" outlineLevel="0" collapsed="false">
      <c r="A123" s="5" t="s">
        <v>119</v>
      </c>
      <c r="B123" s="5" t="s">
        <v>120</v>
      </c>
      <c r="C123" s="5" t="s">
        <v>144</v>
      </c>
      <c r="D123" s="5" t="s">
        <v>63</v>
      </c>
      <c r="E123" s="5" t="s">
        <v>145</v>
      </c>
      <c r="F123" s="5" t="s">
        <v>146</v>
      </c>
      <c r="G123" s="5" t="s">
        <v>126</v>
      </c>
      <c r="H123" s="5" t="s">
        <v>127</v>
      </c>
      <c r="I123" s="6" t="n">
        <v>120</v>
      </c>
      <c r="J123" s="6" t="n">
        <v>150</v>
      </c>
      <c r="K123" s="7" t="n">
        <f aca="false">IF(COUNT(I123:J123)=0,"",AVERAGE(I123:J123))</f>
        <v>135</v>
      </c>
      <c r="L123" s="5" t="s">
        <v>147</v>
      </c>
      <c r="M123" s="5"/>
      <c r="N123" s="8" t="s">
        <v>54</v>
      </c>
      <c r="O123" s="5"/>
    </row>
    <row r="124" customFormat="false" ht="15" hidden="false" customHeight="false" outlineLevel="0" collapsed="false">
      <c r="A124" s="5" t="s">
        <v>119</v>
      </c>
      <c r="B124" s="5" t="s">
        <v>120</v>
      </c>
      <c r="C124" s="5" t="s">
        <v>144</v>
      </c>
      <c r="D124" s="5" t="s">
        <v>63</v>
      </c>
      <c r="E124" s="5" t="s">
        <v>145</v>
      </c>
      <c r="F124" s="5" t="s">
        <v>146</v>
      </c>
      <c r="G124" s="5" t="s">
        <v>128</v>
      </c>
      <c r="H124" s="5" t="s">
        <v>129</v>
      </c>
      <c r="I124" s="6" t="n">
        <v>9</v>
      </c>
      <c r="J124" s="6" t="n">
        <v>12</v>
      </c>
      <c r="K124" s="7" t="n">
        <f aca="false">IF(COUNT(I124:J124)=0,"",AVERAGE(I124:J124))</f>
        <v>10.5</v>
      </c>
      <c r="L124" s="5" t="s">
        <v>149</v>
      </c>
      <c r="M124" s="5"/>
      <c r="N124" s="8" t="s">
        <v>54</v>
      </c>
      <c r="O124" s="5"/>
    </row>
    <row r="125" customFormat="false" ht="15" hidden="false" customHeight="false" outlineLevel="0" collapsed="false">
      <c r="A125" s="5" t="s">
        <v>119</v>
      </c>
      <c r="B125" s="5" t="s">
        <v>120</v>
      </c>
      <c r="C125" s="5" t="s">
        <v>150</v>
      </c>
      <c r="D125" s="5" t="s">
        <v>63</v>
      </c>
      <c r="E125" s="5" t="s">
        <v>151</v>
      </c>
      <c r="F125" s="5" t="s">
        <v>152</v>
      </c>
      <c r="G125" s="5" t="s">
        <v>51</v>
      </c>
      <c r="H125" s="5" t="s">
        <v>52</v>
      </c>
      <c r="I125" s="6" t="n">
        <v>3.1</v>
      </c>
      <c r="J125" s="6" t="n">
        <v>3.6</v>
      </c>
      <c r="K125" s="7" t="n">
        <f aca="false">IF(COUNT(I125:J125)=0,"",AVERAGE(I125:J125))</f>
        <v>3.35</v>
      </c>
      <c r="L125" s="5" t="s">
        <v>153</v>
      </c>
      <c r="M125" s="5"/>
      <c r="N125" s="8" t="s">
        <v>54</v>
      </c>
      <c r="O125" s="5" t="s">
        <v>154</v>
      </c>
    </row>
    <row r="126" customFormat="false" ht="15" hidden="false" customHeight="false" outlineLevel="0" collapsed="false">
      <c r="A126" s="5" t="s">
        <v>119</v>
      </c>
      <c r="B126" s="5" t="s">
        <v>120</v>
      </c>
      <c r="C126" s="5" t="s">
        <v>150</v>
      </c>
      <c r="D126" s="5" t="s">
        <v>63</v>
      </c>
      <c r="E126" s="5" t="s">
        <v>151</v>
      </c>
      <c r="F126" s="5" t="s">
        <v>152</v>
      </c>
      <c r="G126" s="5" t="s">
        <v>56</v>
      </c>
      <c r="H126" s="5" t="s">
        <v>57</v>
      </c>
      <c r="I126" s="6" t="n">
        <v>50</v>
      </c>
      <c r="J126" s="6" t="n">
        <v>70</v>
      </c>
      <c r="K126" s="7" t="n">
        <f aca="false">IF(COUNT(I126:J126)=0,"",AVERAGE(I126:J126))</f>
        <v>60</v>
      </c>
      <c r="L126" s="5" t="s">
        <v>153</v>
      </c>
      <c r="M126" s="5"/>
      <c r="N126" s="8" t="s">
        <v>54</v>
      </c>
      <c r="O126" s="5"/>
    </row>
    <row r="127" customFormat="false" ht="15" hidden="false" customHeight="false" outlineLevel="0" collapsed="false">
      <c r="A127" s="5" t="s">
        <v>119</v>
      </c>
      <c r="B127" s="5" t="s">
        <v>120</v>
      </c>
      <c r="C127" s="5" t="s">
        <v>150</v>
      </c>
      <c r="D127" s="5" t="s">
        <v>63</v>
      </c>
      <c r="E127" s="5" t="s">
        <v>151</v>
      </c>
      <c r="F127" s="5" t="s">
        <v>152</v>
      </c>
      <c r="G127" s="5" t="s">
        <v>58</v>
      </c>
      <c r="H127" s="5" t="s">
        <v>57</v>
      </c>
      <c r="I127" s="6" t="n">
        <v>60</v>
      </c>
      <c r="J127" s="6" t="n">
        <v>70</v>
      </c>
      <c r="K127" s="7" t="n">
        <f aca="false">IF(COUNT(I127:J127)=0,"",AVERAGE(I127:J127))</f>
        <v>65</v>
      </c>
      <c r="L127" s="5" t="s">
        <v>153</v>
      </c>
      <c r="M127" s="5"/>
      <c r="N127" s="8" t="s">
        <v>54</v>
      </c>
      <c r="O127" s="5"/>
    </row>
    <row r="128" customFormat="false" ht="15" hidden="false" customHeight="false" outlineLevel="0" collapsed="false">
      <c r="A128" s="5" t="s">
        <v>119</v>
      </c>
      <c r="B128" s="5" t="s">
        <v>120</v>
      </c>
      <c r="C128" s="5" t="s">
        <v>150</v>
      </c>
      <c r="D128" s="5" t="s">
        <v>63</v>
      </c>
      <c r="E128" s="5" t="s">
        <v>151</v>
      </c>
      <c r="F128" s="5" t="s">
        <v>152</v>
      </c>
      <c r="G128" s="5" t="s">
        <v>124</v>
      </c>
      <c r="H128" s="5" t="s">
        <v>125</v>
      </c>
      <c r="I128" s="6" t="n">
        <v>2</v>
      </c>
      <c r="J128" s="6" t="n">
        <v>6</v>
      </c>
      <c r="K128" s="7" t="n">
        <f aca="false">IF(COUNT(I128:J128)=0,"",AVERAGE(I128:J128))</f>
        <v>4</v>
      </c>
      <c r="L128" s="5" t="s">
        <v>153</v>
      </c>
      <c r="M128" s="5"/>
      <c r="N128" s="8" t="s">
        <v>54</v>
      </c>
      <c r="O128" s="5"/>
    </row>
    <row r="129" customFormat="false" ht="15" hidden="false" customHeight="false" outlineLevel="0" collapsed="false">
      <c r="A129" s="5" t="s">
        <v>119</v>
      </c>
      <c r="B129" s="5" t="s">
        <v>120</v>
      </c>
      <c r="C129" s="5" t="s">
        <v>150</v>
      </c>
      <c r="D129" s="5" t="s">
        <v>63</v>
      </c>
      <c r="E129" s="5" t="s">
        <v>151</v>
      </c>
      <c r="F129" s="5" t="s">
        <v>152</v>
      </c>
      <c r="G129" s="5" t="s">
        <v>60</v>
      </c>
      <c r="H129" s="5" t="s">
        <v>61</v>
      </c>
      <c r="I129" s="6" t="n">
        <v>1.25</v>
      </c>
      <c r="J129" s="6" t="n">
        <v>1.29</v>
      </c>
      <c r="K129" s="7" t="n">
        <f aca="false">IF(COUNT(I129:J129)=0,"",AVERAGE(I129:J129))</f>
        <v>1.27</v>
      </c>
      <c r="L129" s="5" t="s">
        <v>153</v>
      </c>
      <c r="M129" s="5"/>
      <c r="N129" s="8" t="s">
        <v>54</v>
      </c>
      <c r="O129" s="5"/>
    </row>
    <row r="130" customFormat="false" ht="15" hidden="false" customHeight="false" outlineLevel="0" collapsed="false">
      <c r="A130" s="5" t="s">
        <v>119</v>
      </c>
      <c r="B130" s="5" t="s">
        <v>120</v>
      </c>
      <c r="C130" s="5" t="s">
        <v>150</v>
      </c>
      <c r="D130" s="5" t="s">
        <v>63</v>
      </c>
      <c r="E130" s="5" t="s">
        <v>151</v>
      </c>
      <c r="F130" s="5" t="s">
        <v>152</v>
      </c>
      <c r="G130" s="5" t="s">
        <v>126</v>
      </c>
      <c r="H130" s="5" t="s">
        <v>127</v>
      </c>
      <c r="I130" s="6" t="n">
        <v>150</v>
      </c>
      <c r="J130" s="6" t="n">
        <v>160</v>
      </c>
      <c r="K130" s="7" t="n">
        <f aca="false">IF(COUNT(I130:J130)=0,"",AVERAGE(I130:J130))</f>
        <v>155</v>
      </c>
      <c r="L130" s="5" t="s">
        <v>153</v>
      </c>
      <c r="M130" s="5"/>
      <c r="N130" s="8" t="s">
        <v>54</v>
      </c>
      <c r="O130" s="5"/>
    </row>
    <row r="131" customFormat="false" ht="15" hidden="false" customHeight="false" outlineLevel="0" collapsed="false">
      <c r="A131" s="5" t="s">
        <v>119</v>
      </c>
      <c r="B131" s="5" t="s">
        <v>120</v>
      </c>
      <c r="C131" s="5" t="s">
        <v>150</v>
      </c>
      <c r="D131" s="5" t="s">
        <v>63</v>
      </c>
      <c r="E131" s="5" t="s">
        <v>151</v>
      </c>
      <c r="F131" s="5" t="s">
        <v>152</v>
      </c>
      <c r="G131" s="5" t="s">
        <v>128</v>
      </c>
      <c r="H131" s="5" t="s">
        <v>129</v>
      </c>
      <c r="I131" s="6" t="n">
        <v>36</v>
      </c>
      <c r="J131" s="6" t="n">
        <v>48</v>
      </c>
      <c r="K131" s="7" t="n">
        <f aca="false">IF(COUNT(I131:J131)=0,"",AVERAGE(I131:J131))</f>
        <v>42</v>
      </c>
      <c r="L131" s="5" t="s">
        <v>153</v>
      </c>
      <c r="M131" s="5"/>
      <c r="N131" s="8" t="s">
        <v>54</v>
      </c>
      <c r="O131" s="5"/>
    </row>
    <row r="132" customFormat="false" ht="15" hidden="false" customHeight="false" outlineLevel="0" collapsed="false">
      <c r="A132" s="5" t="s">
        <v>155</v>
      </c>
      <c r="B132" s="5" t="s">
        <v>156</v>
      </c>
      <c r="C132" s="5" t="s">
        <v>157</v>
      </c>
      <c r="D132" s="5" t="s">
        <v>63</v>
      </c>
      <c r="E132" s="5" t="s">
        <v>117</v>
      </c>
      <c r="F132" s="5" t="s">
        <v>158</v>
      </c>
      <c r="G132" s="5" t="s">
        <v>159</v>
      </c>
      <c r="H132" s="5" t="s">
        <v>57</v>
      </c>
      <c r="I132" s="6" t="n">
        <v>2</v>
      </c>
      <c r="J132" s="6" t="n">
        <v>10</v>
      </c>
      <c r="K132" s="7" t="n">
        <f aca="false">IF(COUNT(I132:J132)=0,"",AVERAGE(I132:J132))</f>
        <v>6</v>
      </c>
      <c r="L132" s="5" t="s">
        <v>160</v>
      </c>
      <c r="M132" s="5"/>
      <c r="N132" s="8" t="s">
        <v>54</v>
      </c>
      <c r="O132" s="5" t="s">
        <v>161</v>
      </c>
    </row>
    <row r="133" customFormat="false" ht="15" hidden="false" customHeight="false" outlineLevel="0" collapsed="false">
      <c r="A133" s="5" t="s">
        <v>155</v>
      </c>
      <c r="B133" s="5" t="s">
        <v>156</v>
      </c>
      <c r="C133" s="5" t="s">
        <v>157</v>
      </c>
      <c r="D133" s="5" t="s">
        <v>63</v>
      </c>
      <c r="E133" s="5" t="s">
        <v>117</v>
      </c>
      <c r="F133" s="5" t="s">
        <v>158</v>
      </c>
      <c r="G133" s="5" t="s">
        <v>162</v>
      </c>
      <c r="H133" s="5" t="s">
        <v>57</v>
      </c>
      <c r="I133" s="6" t="n">
        <v>20</v>
      </c>
      <c r="J133" s="6" t="n">
        <v>80</v>
      </c>
      <c r="K133" s="7" t="n">
        <f aca="false">IF(COUNT(I133:J133)=0,"",AVERAGE(I133:J133))</f>
        <v>50</v>
      </c>
      <c r="L133" s="5" t="s">
        <v>160</v>
      </c>
      <c r="M133" s="5"/>
      <c r="N133" s="8" t="s">
        <v>54</v>
      </c>
      <c r="O133" s="5" t="s">
        <v>161</v>
      </c>
    </row>
    <row r="134" customFormat="false" ht="15" hidden="false" customHeight="false" outlineLevel="0" collapsed="false">
      <c r="A134" s="5" t="s">
        <v>155</v>
      </c>
      <c r="B134" s="5" t="s">
        <v>156</v>
      </c>
      <c r="C134" s="5" t="s">
        <v>157</v>
      </c>
      <c r="D134" s="5" t="s">
        <v>63</v>
      </c>
      <c r="E134" s="5" t="s">
        <v>117</v>
      </c>
      <c r="F134" s="5" t="s">
        <v>158</v>
      </c>
      <c r="G134" s="5" t="s">
        <v>163</v>
      </c>
      <c r="H134" s="5" t="s">
        <v>125</v>
      </c>
      <c r="I134" s="6" t="n">
        <v>50</v>
      </c>
      <c r="J134" s="6" t="n">
        <v>80</v>
      </c>
      <c r="K134" s="7" t="n">
        <f aca="false">IF(COUNT(I134:J134)=0,"",AVERAGE(I134:J134))</f>
        <v>65</v>
      </c>
      <c r="L134" s="5" t="s">
        <v>164</v>
      </c>
      <c r="M134" s="5"/>
      <c r="N134" s="8" t="s">
        <v>54</v>
      </c>
      <c r="O134" s="5"/>
    </row>
    <row r="135" customFormat="false" ht="15" hidden="false" customHeight="false" outlineLevel="0" collapsed="false">
      <c r="A135" s="5" t="s">
        <v>155</v>
      </c>
      <c r="B135" s="5" t="s">
        <v>156</v>
      </c>
      <c r="C135" s="5" t="s">
        <v>157</v>
      </c>
      <c r="D135" s="5" t="s">
        <v>63</v>
      </c>
      <c r="E135" s="5" t="s">
        <v>117</v>
      </c>
      <c r="F135" s="5" t="s">
        <v>158</v>
      </c>
      <c r="G135" s="5" t="s">
        <v>165</v>
      </c>
      <c r="H135" s="5" t="s">
        <v>129</v>
      </c>
      <c r="I135" s="6" t="n">
        <v>24</v>
      </c>
      <c r="J135" s="6" t="n">
        <v>36</v>
      </c>
      <c r="K135" s="7" t="n">
        <f aca="false">IF(COUNT(I135:J135)=0,"",AVERAGE(I135:J135))</f>
        <v>30</v>
      </c>
      <c r="L135" s="5" t="s">
        <v>160</v>
      </c>
      <c r="M135" s="5"/>
      <c r="N135" s="8" t="s">
        <v>54</v>
      </c>
      <c r="O135" s="5"/>
    </row>
    <row r="136" customFormat="false" ht="15" hidden="false" customHeight="false" outlineLevel="0" collapsed="false">
      <c r="A136" s="5" t="s">
        <v>155</v>
      </c>
      <c r="B136" s="5" t="s">
        <v>156</v>
      </c>
      <c r="C136" s="5" t="s">
        <v>157</v>
      </c>
      <c r="D136" s="5" t="s">
        <v>63</v>
      </c>
      <c r="E136" s="5" t="s">
        <v>117</v>
      </c>
      <c r="F136" s="5" t="s">
        <v>158</v>
      </c>
      <c r="G136" s="5" t="s">
        <v>166</v>
      </c>
      <c r="H136" s="5" t="s">
        <v>63</v>
      </c>
      <c r="I136" s="6" t="n">
        <v>1</v>
      </c>
      <c r="J136" s="6" t="n">
        <v>1</v>
      </c>
      <c r="K136" s="7" t="n">
        <f aca="false">IF(COUNT(I136:J136)=0,"",AVERAGE(I136:J136))</f>
        <v>1</v>
      </c>
      <c r="L136" s="5" t="s">
        <v>64</v>
      </c>
      <c r="M136" s="5"/>
      <c r="N136" s="8" t="s">
        <v>54</v>
      </c>
      <c r="O136" s="5"/>
    </row>
    <row r="137" customFormat="false" ht="15" hidden="false" customHeight="false" outlineLevel="0" collapsed="false">
      <c r="A137" s="5" t="s">
        <v>155</v>
      </c>
      <c r="B137" s="5" t="s">
        <v>156</v>
      </c>
      <c r="C137" s="5" t="s">
        <v>157</v>
      </c>
      <c r="D137" s="5" t="s">
        <v>63</v>
      </c>
      <c r="E137" s="5" t="s">
        <v>117</v>
      </c>
      <c r="F137" s="5" t="s">
        <v>158</v>
      </c>
      <c r="G137" s="5" t="s">
        <v>167</v>
      </c>
      <c r="H137" s="5" t="s">
        <v>63</v>
      </c>
      <c r="I137" s="6" t="n">
        <v>5</v>
      </c>
      <c r="J137" s="6" t="n">
        <v>5</v>
      </c>
      <c r="K137" s="7" t="n">
        <f aca="false">IF(COUNT(I137:J137)=0,"",AVERAGE(I137:J137))</f>
        <v>5</v>
      </c>
      <c r="L137" s="5" t="s">
        <v>64</v>
      </c>
      <c r="M137" s="5"/>
      <c r="N137" s="8" t="s">
        <v>54</v>
      </c>
      <c r="O137" s="5"/>
    </row>
    <row r="138" customFormat="false" ht="15" hidden="false" customHeight="false" outlineLevel="0" collapsed="false">
      <c r="A138" s="5" t="s">
        <v>155</v>
      </c>
      <c r="B138" s="5" t="s">
        <v>156</v>
      </c>
      <c r="C138" s="5" t="s">
        <v>168</v>
      </c>
      <c r="D138" s="5" t="s">
        <v>63</v>
      </c>
      <c r="E138" s="5" t="s">
        <v>117</v>
      </c>
      <c r="F138" s="5" t="s">
        <v>158</v>
      </c>
      <c r="G138" s="5" t="s">
        <v>159</v>
      </c>
      <c r="H138" s="5" t="s">
        <v>57</v>
      </c>
      <c r="I138" s="6" t="n">
        <v>1</v>
      </c>
      <c r="J138" s="6" t="n">
        <v>10</v>
      </c>
      <c r="K138" s="7" t="n">
        <f aca="false">IF(COUNT(I138:J138)=0,"",AVERAGE(I138:J138))</f>
        <v>5.5</v>
      </c>
      <c r="L138" s="5" t="s">
        <v>169</v>
      </c>
      <c r="M138" s="5"/>
      <c r="N138" s="8" t="s">
        <v>54</v>
      </c>
      <c r="O138" s="5" t="s">
        <v>161</v>
      </c>
    </row>
    <row r="139" customFormat="false" ht="15" hidden="false" customHeight="false" outlineLevel="0" collapsed="false">
      <c r="A139" s="5" t="s">
        <v>155</v>
      </c>
      <c r="B139" s="5" t="s">
        <v>156</v>
      </c>
      <c r="C139" s="5" t="s">
        <v>168</v>
      </c>
      <c r="D139" s="5" t="s">
        <v>63</v>
      </c>
      <c r="E139" s="5" t="s">
        <v>117</v>
      </c>
      <c r="F139" s="5" t="s">
        <v>158</v>
      </c>
      <c r="G139" s="5" t="s">
        <v>162</v>
      </c>
      <c r="H139" s="5" t="s">
        <v>57</v>
      </c>
      <c r="I139" s="6" t="n">
        <v>50</v>
      </c>
      <c r="J139" s="6" t="n">
        <v>300</v>
      </c>
      <c r="K139" s="7" t="n">
        <f aca="false">IF(COUNT(I139:J139)=0,"",AVERAGE(I139:J139))</f>
        <v>175</v>
      </c>
      <c r="L139" s="5" t="s">
        <v>169</v>
      </c>
      <c r="M139" s="5"/>
      <c r="N139" s="8" t="s">
        <v>54</v>
      </c>
      <c r="O139" s="5" t="s">
        <v>161</v>
      </c>
    </row>
    <row r="140" customFormat="false" ht="15" hidden="false" customHeight="false" outlineLevel="0" collapsed="false">
      <c r="A140" s="5" t="s">
        <v>155</v>
      </c>
      <c r="B140" s="5" t="s">
        <v>156</v>
      </c>
      <c r="C140" s="5" t="s">
        <v>168</v>
      </c>
      <c r="D140" s="5" t="s">
        <v>63</v>
      </c>
      <c r="E140" s="5" t="s">
        <v>117</v>
      </c>
      <c r="F140" s="5" t="s">
        <v>158</v>
      </c>
      <c r="G140" s="5" t="s">
        <v>163</v>
      </c>
      <c r="H140" s="5" t="s">
        <v>125</v>
      </c>
      <c r="I140" s="6" t="n">
        <v>60</v>
      </c>
      <c r="J140" s="6" t="n">
        <v>90</v>
      </c>
      <c r="K140" s="7" t="n">
        <f aca="false">IF(COUNT(I140:J140)=0,"",AVERAGE(I140:J140))</f>
        <v>75</v>
      </c>
      <c r="L140" s="5" t="s">
        <v>164</v>
      </c>
      <c r="M140" s="5"/>
      <c r="N140" s="8" t="s">
        <v>54</v>
      </c>
      <c r="O140" s="5"/>
    </row>
    <row r="141" customFormat="false" ht="15" hidden="false" customHeight="false" outlineLevel="0" collapsed="false">
      <c r="A141" s="5" t="s">
        <v>155</v>
      </c>
      <c r="B141" s="5" t="s">
        <v>156</v>
      </c>
      <c r="C141" s="5" t="s">
        <v>168</v>
      </c>
      <c r="D141" s="5" t="s">
        <v>63</v>
      </c>
      <c r="E141" s="5" t="s">
        <v>117</v>
      </c>
      <c r="F141" s="5" t="s">
        <v>158</v>
      </c>
      <c r="G141" s="5" t="s">
        <v>165</v>
      </c>
      <c r="H141" s="5" t="s">
        <v>129</v>
      </c>
      <c r="I141" s="6" t="n">
        <v>18</v>
      </c>
      <c r="J141" s="6" t="n">
        <v>36</v>
      </c>
      <c r="K141" s="7" t="n">
        <f aca="false">IF(COUNT(I141:J141)=0,"",AVERAGE(I141:J141))</f>
        <v>27</v>
      </c>
      <c r="L141" s="5" t="s">
        <v>169</v>
      </c>
      <c r="M141" s="5"/>
      <c r="N141" s="8" t="s">
        <v>54</v>
      </c>
      <c r="O141" s="5"/>
    </row>
    <row r="142" customFormat="false" ht="15" hidden="false" customHeight="false" outlineLevel="0" collapsed="false">
      <c r="A142" s="5" t="s">
        <v>155</v>
      </c>
      <c r="B142" s="5" t="s">
        <v>156</v>
      </c>
      <c r="C142" s="5" t="s">
        <v>168</v>
      </c>
      <c r="D142" s="5" t="s">
        <v>63</v>
      </c>
      <c r="E142" s="5" t="s">
        <v>117</v>
      </c>
      <c r="F142" s="5" t="s">
        <v>158</v>
      </c>
      <c r="G142" s="5" t="s">
        <v>166</v>
      </c>
      <c r="H142" s="5" t="s">
        <v>63</v>
      </c>
      <c r="I142" s="6" t="n">
        <v>1</v>
      </c>
      <c r="J142" s="6" t="n">
        <v>1</v>
      </c>
      <c r="K142" s="7" t="n">
        <f aca="false">IF(COUNT(I142:J142)=0,"",AVERAGE(I142:J142))</f>
        <v>1</v>
      </c>
      <c r="L142" s="5" t="s">
        <v>64</v>
      </c>
      <c r="M142" s="5"/>
      <c r="N142" s="8" t="s">
        <v>54</v>
      </c>
      <c r="O142" s="5"/>
    </row>
    <row r="143" customFormat="false" ht="15" hidden="false" customHeight="false" outlineLevel="0" collapsed="false">
      <c r="A143" s="5" t="s">
        <v>155</v>
      </c>
      <c r="B143" s="5" t="s">
        <v>156</v>
      </c>
      <c r="C143" s="5" t="s">
        <v>168</v>
      </c>
      <c r="D143" s="5" t="s">
        <v>63</v>
      </c>
      <c r="E143" s="5" t="s">
        <v>117</v>
      </c>
      <c r="F143" s="5" t="s">
        <v>158</v>
      </c>
      <c r="G143" s="5" t="s">
        <v>167</v>
      </c>
      <c r="H143" s="5" t="s">
        <v>63</v>
      </c>
      <c r="I143" s="6" t="n">
        <v>4</v>
      </c>
      <c r="J143" s="6" t="n">
        <v>4</v>
      </c>
      <c r="K143" s="7" t="n">
        <f aca="false">IF(COUNT(I143:J143)=0,"",AVERAGE(I143:J143))</f>
        <v>4</v>
      </c>
      <c r="L143" s="5" t="s">
        <v>64</v>
      </c>
      <c r="M143" s="5"/>
      <c r="N143" s="8" t="s">
        <v>54</v>
      </c>
      <c r="O143" s="5"/>
    </row>
    <row r="144" customFormat="false" ht="15" hidden="false" customHeight="false" outlineLevel="0" collapsed="false">
      <c r="A144" s="5" t="s">
        <v>155</v>
      </c>
      <c r="B144" s="5" t="s">
        <v>156</v>
      </c>
      <c r="C144" s="5" t="s">
        <v>170</v>
      </c>
      <c r="D144" s="5" t="s">
        <v>63</v>
      </c>
      <c r="E144" s="5" t="s">
        <v>117</v>
      </c>
      <c r="F144" s="5" t="s">
        <v>158</v>
      </c>
      <c r="G144" s="5" t="s">
        <v>159</v>
      </c>
      <c r="H144" s="5" t="s">
        <v>57</v>
      </c>
      <c r="I144" s="6" t="n">
        <v>0.5</v>
      </c>
      <c r="J144" s="6" t="n">
        <v>3</v>
      </c>
      <c r="K144" s="7" t="n">
        <f aca="false">IF(COUNT(I144:J144)=0,"",AVERAGE(I144:J144))</f>
        <v>1.75</v>
      </c>
      <c r="L144" s="5" t="s">
        <v>169</v>
      </c>
      <c r="M144" s="5"/>
      <c r="N144" s="8" t="s">
        <v>54</v>
      </c>
      <c r="O144" s="5" t="s">
        <v>161</v>
      </c>
    </row>
    <row r="145" customFormat="false" ht="15" hidden="false" customHeight="false" outlineLevel="0" collapsed="false">
      <c r="A145" s="5" t="s">
        <v>155</v>
      </c>
      <c r="B145" s="5" t="s">
        <v>156</v>
      </c>
      <c r="C145" s="5" t="s">
        <v>170</v>
      </c>
      <c r="D145" s="5" t="s">
        <v>63</v>
      </c>
      <c r="E145" s="5" t="s">
        <v>117</v>
      </c>
      <c r="F145" s="5" t="s">
        <v>158</v>
      </c>
      <c r="G145" s="5" t="s">
        <v>162</v>
      </c>
      <c r="H145" s="5" t="s">
        <v>57</v>
      </c>
      <c r="I145" s="6" t="n">
        <v>10</v>
      </c>
      <c r="J145" s="6" t="n">
        <v>60</v>
      </c>
      <c r="K145" s="7" t="n">
        <f aca="false">IF(COUNT(I145:J145)=0,"",AVERAGE(I145:J145))</f>
        <v>35</v>
      </c>
      <c r="L145" s="5" t="s">
        <v>169</v>
      </c>
      <c r="M145" s="5"/>
      <c r="N145" s="8" t="s">
        <v>54</v>
      </c>
      <c r="O145" s="5" t="s">
        <v>161</v>
      </c>
    </row>
    <row r="146" customFormat="false" ht="15" hidden="false" customHeight="false" outlineLevel="0" collapsed="false">
      <c r="A146" s="5" t="s">
        <v>155</v>
      </c>
      <c r="B146" s="5" t="s">
        <v>156</v>
      </c>
      <c r="C146" s="5" t="s">
        <v>170</v>
      </c>
      <c r="D146" s="5" t="s">
        <v>63</v>
      </c>
      <c r="E146" s="5" t="s">
        <v>117</v>
      </c>
      <c r="F146" s="5" t="s">
        <v>158</v>
      </c>
      <c r="G146" s="5" t="s">
        <v>163</v>
      </c>
      <c r="H146" s="5" t="s">
        <v>125</v>
      </c>
      <c r="I146" s="6" t="n">
        <v>70</v>
      </c>
      <c r="J146" s="6" t="n">
        <v>90</v>
      </c>
      <c r="K146" s="7" t="n">
        <f aca="false">IF(COUNT(I146:J146)=0,"",AVERAGE(I146:J146))</f>
        <v>80</v>
      </c>
      <c r="L146" s="5" t="s">
        <v>164</v>
      </c>
      <c r="M146" s="5"/>
      <c r="N146" s="8" t="s">
        <v>54</v>
      </c>
      <c r="O146" s="5"/>
    </row>
    <row r="147" customFormat="false" ht="15" hidden="false" customHeight="false" outlineLevel="0" collapsed="false">
      <c r="A147" s="5" t="s">
        <v>155</v>
      </c>
      <c r="B147" s="5" t="s">
        <v>156</v>
      </c>
      <c r="C147" s="5" t="s">
        <v>170</v>
      </c>
      <c r="D147" s="5" t="s">
        <v>63</v>
      </c>
      <c r="E147" s="5" t="s">
        <v>117</v>
      </c>
      <c r="F147" s="5" t="s">
        <v>158</v>
      </c>
      <c r="G147" s="5" t="s">
        <v>165</v>
      </c>
      <c r="H147" s="5" t="s">
        <v>129</v>
      </c>
      <c r="I147" s="6" t="n">
        <v>1</v>
      </c>
      <c r="J147" s="6" t="n">
        <v>3</v>
      </c>
      <c r="K147" s="7" t="n">
        <f aca="false">IF(COUNT(I147:J147)=0,"",AVERAGE(I147:J147))</f>
        <v>2</v>
      </c>
      <c r="L147" s="5" t="s">
        <v>169</v>
      </c>
      <c r="M147" s="5"/>
      <c r="N147" s="8" t="s">
        <v>54</v>
      </c>
      <c r="O147" s="5"/>
    </row>
    <row r="148" customFormat="false" ht="15" hidden="false" customHeight="false" outlineLevel="0" collapsed="false">
      <c r="A148" s="5" t="s">
        <v>155</v>
      </c>
      <c r="B148" s="5" t="s">
        <v>156</v>
      </c>
      <c r="C148" s="5" t="s">
        <v>170</v>
      </c>
      <c r="D148" s="5" t="s">
        <v>63</v>
      </c>
      <c r="E148" s="5" t="s">
        <v>117</v>
      </c>
      <c r="F148" s="5" t="s">
        <v>158</v>
      </c>
      <c r="G148" s="5" t="s">
        <v>166</v>
      </c>
      <c r="H148" s="5" t="s">
        <v>63</v>
      </c>
      <c r="I148" s="6" t="n">
        <v>1</v>
      </c>
      <c r="J148" s="6" t="n">
        <v>1</v>
      </c>
      <c r="K148" s="7" t="n">
        <f aca="false">IF(COUNT(I148:J148)=0,"",AVERAGE(I148:J148))</f>
        <v>1</v>
      </c>
      <c r="L148" s="5" t="s">
        <v>64</v>
      </c>
      <c r="M148" s="5"/>
      <c r="N148" s="8" t="s">
        <v>54</v>
      </c>
      <c r="O148" s="5"/>
    </row>
    <row r="149" customFormat="false" ht="15" hidden="false" customHeight="false" outlineLevel="0" collapsed="false">
      <c r="A149" s="5" t="s">
        <v>155</v>
      </c>
      <c r="B149" s="5" t="s">
        <v>156</v>
      </c>
      <c r="C149" s="5" t="s">
        <v>170</v>
      </c>
      <c r="D149" s="5" t="s">
        <v>63</v>
      </c>
      <c r="E149" s="5" t="s">
        <v>117</v>
      </c>
      <c r="F149" s="5" t="s">
        <v>158</v>
      </c>
      <c r="G149" s="5" t="s">
        <v>167</v>
      </c>
      <c r="H149" s="5" t="s">
        <v>63</v>
      </c>
      <c r="I149" s="6" t="n">
        <v>3</v>
      </c>
      <c r="J149" s="6" t="n">
        <v>3</v>
      </c>
      <c r="K149" s="7" t="n">
        <f aca="false">IF(COUNT(I149:J149)=0,"",AVERAGE(I149:J149))</f>
        <v>3</v>
      </c>
      <c r="L149" s="5" t="s">
        <v>64</v>
      </c>
      <c r="M149" s="5"/>
      <c r="N149" s="8" t="s">
        <v>54</v>
      </c>
      <c r="O149" s="5"/>
    </row>
    <row r="150" customFormat="false" ht="15" hidden="false" customHeight="false" outlineLevel="0" collapsed="false">
      <c r="A150" s="5" t="s">
        <v>155</v>
      </c>
      <c r="B150" s="5" t="s">
        <v>156</v>
      </c>
      <c r="C150" s="5" t="s">
        <v>171</v>
      </c>
      <c r="D150" s="5" t="s">
        <v>63</v>
      </c>
      <c r="E150" s="5" t="s">
        <v>112</v>
      </c>
      <c r="F150" s="5" t="s">
        <v>158</v>
      </c>
      <c r="G150" s="5" t="s">
        <v>159</v>
      </c>
      <c r="H150" s="5" t="s">
        <v>57</v>
      </c>
      <c r="I150" s="6" t="n">
        <v>2</v>
      </c>
      <c r="J150" s="6" t="n">
        <v>20</v>
      </c>
      <c r="K150" s="7" t="n">
        <f aca="false">IF(COUNT(I150:J150)=0,"",AVERAGE(I150:J150))</f>
        <v>11</v>
      </c>
      <c r="L150" s="5" t="s">
        <v>169</v>
      </c>
      <c r="M150" s="5"/>
      <c r="N150" s="8" t="s">
        <v>54</v>
      </c>
      <c r="O150" s="5" t="s">
        <v>161</v>
      </c>
    </row>
    <row r="151" customFormat="false" ht="15" hidden="false" customHeight="false" outlineLevel="0" collapsed="false">
      <c r="A151" s="5" t="s">
        <v>155</v>
      </c>
      <c r="B151" s="5" t="s">
        <v>156</v>
      </c>
      <c r="C151" s="5" t="s">
        <v>171</v>
      </c>
      <c r="D151" s="5" t="s">
        <v>63</v>
      </c>
      <c r="E151" s="5" t="s">
        <v>112</v>
      </c>
      <c r="F151" s="5" t="s">
        <v>158</v>
      </c>
      <c r="G151" s="5" t="s">
        <v>162</v>
      </c>
      <c r="H151" s="5" t="s">
        <v>57</v>
      </c>
      <c r="I151" s="6" t="n">
        <v>500</v>
      </c>
      <c r="J151" s="6" t="n">
        <v>3000</v>
      </c>
      <c r="K151" s="7" t="n">
        <f aca="false">IF(COUNT(I151:J151)=0,"",AVERAGE(I151:J151))</f>
        <v>1750</v>
      </c>
      <c r="L151" s="5" t="s">
        <v>169</v>
      </c>
      <c r="M151" s="5"/>
      <c r="N151" s="8" t="s">
        <v>54</v>
      </c>
      <c r="O151" s="5" t="s">
        <v>161</v>
      </c>
    </row>
    <row r="152" customFormat="false" ht="15" hidden="false" customHeight="false" outlineLevel="0" collapsed="false">
      <c r="A152" s="5" t="s">
        <v>155</v>
      </c>
      <c r="B152" s="5" t="s">
        <v>156</v>
      </c>
      <c r="C152" s="5" t="s">
        <v>171</v>
      </c>
      <c r="D152" s="5" t="s">
        <v>63</v>
      </c>
      <c r="E152" s="5" t="s">
        <v>112</v>
      </c>
      <c r="F152" s="5" t="s">
        <v>158</v>
      </c>
      <c r="G152" s="5" t="s">
        <v>163</v>
      </c>
      <c r="H152" s="5" t="s">
        <v>125</v>
      </c>
      <c r="I152" s="6" t="n">
        <v>50</v>
      </c>
      <c r="J152" s="6" t="n">
        <v>80</v>
      </c>
      <c r="K152" s="7" t="n">
        <f aca="false">IF(COUNT(I152:J152)=0,"",AVERAGE(I152:J152))</f>
        <v>65</v>
      </c>
      <c r="L152" s="5" t="s">
        <v>164</v>
      </c>
      <c r="M152" s="5"/>
      <c r="N152" s="8" t="s">
        <v>54</v>
      </c>
      <c r="O152" s="5"/>
    </row>
    <row r="153" customFormat="false" ht="15" hidden="false" customHeight="false" outlineLevel="0" collapsed="false">
      <c r="A153" s="5" t="s">
        <v>155</v>
      </c>
      <c r="B153" s="5" t="s">
        <v>156</v>
      </c>
      <c r="C153" s="5" t="s">
        <v>171</v>
      </c>
      <c r="D153" s="5" t="s">
        <v>63</v>
      </c>
      <c r="E153" s="5" t="s">
        <v>112</v>
      </c>
      <c r="F153" s="5" t="s">
        <v>158</v>
      </c>
      <c r="G153" s="5" t="s">
        <v>165</v>
      </c>
      <c r="H153" s="5" t="s">
        <v>129</v>
      </c>
      <c r="I153" s="6" t="n">
        <v>24</v>
      </c>
      <c r="J153" s="6" t="n">
        <v>60</v>
      </c>
      <c r="K153" s="7" t="n">
        <f aca="false">IF(COUNT(I153:J153)=0,"",AVERAGE(I153:J153))</f>
        <v>42</v>
      </c>
      <c r="L153" s="5" t="s">
        <v>169</v>
      </c>
      <c r="M153" s="5"/>
      <c r="N153" s="8" t="s">
        <v>54</v>
      </c>
      <c r="O153" s="5"/>
    </row>
    <row r="154" customFormat="false" ht="15" hidden="false" customHeight="false" outlineLevel="0" collapsed="false">
      <c r="A154" s="5" t="s">
        <v>155</v>
      </c>
      <c r="B154" s="5" t="s">
        <v>156</v>
      </c>
      <c r="C154" s="5" t="s">
        <v>171</v>
      </c>
      <c r="D154" s="5" t="s">
        <v>63</v>
      </c>
      <c r="E154" s="5" t="s">
        <v>112</v>
      </c>
      <c r="F154" s="5" t="s">
        <v>158</v>
      </c>
      <c r="G154" s="5" t="s">
        <v>166</v>
      </c>
      <c r="H154" s="5" t="s">
        <v>63</v>
      </c>
      <c r="I154" s="6" t="n">
        <v>4</v>
      </c>
      <c r="J154" s="6" t="n">
        <v>4</v>
      </c>
      <c r="K154" s="7" t="n">
        <f aca="false">IF(COUNT(I154:J154)=0,"",AVERAGE(I154:J154))</f>
        <v>4</v>
      </c>
      <c r="L154" s="5" t="s">
        <v>64</v>
      </c>
      <c r="M154" s="5"/>
      <c r="N154" s="8" t="s">
        <v>54</v>
      </c>
      <c r="O154" s="5"/>
    </row>
    <row r="155" customFormat="false" ht="15" hidden="false" customHeight="false" outlineLevel="0" collapsed="false">
      <c r="A155" s="5" t="s">
        <v>155</v>
      </c>
      <c r="B155" s="5" t="s">
        <v>156</v>
      </c>
      <c r="C155" s="5" t="s">
        <v>171</v>
      </c>
      <c r="D155" s="5" t="s">
        <v>63</v>
      </c>
      <c r="E155" s="5" t="s">
        <v>112</v>
      </c>
      <c r="F155" s="5" t="s">
        <v>158</v>
      </c>
      <c r="G155" s="5" t="s">
        <v>167</v>
      </c>
      <c r="H155" s="5" t="s">
        <v>63</v>
      </c>
      <c r="I155" s="6" t="n">
        <v>2</v>
      </c>
      <c r="J155" s="6" t="n">
        <v>2</v>
      </c>
      <c r="K155" s="7" t="n">
        <f aca="false">IF(COUNT(I155:J155)=0,"",AVERAGE(I155:J155))</f>
        <v>2</v>
      </c>
      <c r="L155" s="5" t="s">
        <v>64</v>
      </c>
      <c r="M155" s="5"/>
      <c r="N155" s="8" t="s">
        <v>54</v>
      </c>
      <c r="O155" s="5"/>
    </row>
    <row r="156" customFormat="false" ht="15" hidden="false" customHeight="false" outlineLevel="0" collapsed="false">
      <c r="A156" s="5" t="s">
        <v>155</v>
      </c>
      <c r="B156" s="5" t="s">
        <v>156</v>
      </c>
      <c r="C156" s="5" t="s">
        <v>172</v>
      </c>
      <c r="D156" s="5" t="s">
        <v>63</v>
      </c>
      <c r="E156" s="5" t="s">
        <v>112</v>
      </c>
      <c r="F156" s="5" t="s">
        <v>158</v>
      </c>
      <c r="G156" s="5" t="s">
        <v>159</v>
      </c>
      <c r="H156" s="5" t="s">
        <v>57</v>
      </c>
      <c r="I156" s="6" t="n">
        <v>1</v>
      </c>
      <c r="J156" s="6" t="n">
        <v>15</v>
      </c>
      <c r="K156" s="7" t="n">
        <f aca="false">IF(COUNT(I156:J156)=0,"",AVERAGE(I156:J156))</f>
        <v>8</v>
      </c>
      <c r="L156" s="5" t="s">
        <v>169</v>
      </c>
      <c r="M156" s="5"/>
      <c r="N156" s="8" t="s">
        <v>54</v>
      </c>
      <c r="O156" s="5" t="s">
        <v>161</v>
      </c>
    </row>
    <row r="157" customFormat="false" ht="15" hidden="false" customHeight="false" outlineLevel="0" collapsed="false">
      <c r="A157" s="5" t="s">
        <v>155</v>
      </c>
      <c r="B157" s="5" t="s">
        <v>156</v>
      </c>
      <c r="C157" s="5" t="s">
        <v>172</v>
      </c>
      <c r="D157" s="5" t="s">
        <v>63</v>
      </c>
      <c r="E157" s="5" t="s">
        <v>112</v>
      </c>
      <c r="F157" s="5" t="s">
        <v>158</v>
      </c>
      <c r="G157" s="5" t="s">
        <v>162</v>
      </c>
      <c r="H157" s="5" t="s">
        <v>57</v>
      </c>
      <c r="I157" s="6" t="n">
        <v>100</v>
      </c>
      <c r="J157" s="6" t="n">
        <v>1000</v>
      </c>
      <c r="K157" s="7" t="n">
        <f aca="false">IF(COUNT(I157:J157)=0,"",AVERAGE(I157:J157))</f>
        <v>550</v>
      </c>
      <c r="L157" s="5" t="s">
        <v>169</v>
      </c>
      <c r="M157" s="5"/>
      <c r="N157" s="8" t="s">
        <v>54</v>
      </c>
      <c r="O157" s="5" t="s">
        <v>161</v>
      </c>
    </row>
    <row r="158" customFormat="false" ht="15" hidden="false" customHeight="false" outlineLevel="0" collapsed="false">
      <c r="A158" s="5" t="s">
        <v>155</v>
      </c>
      <c r="B158" s="5" t="s">
        <v>156</v>
      </c>
      <c r="C158" s="5" t="s">
        <v>172</v>
      </c>
      <c r="D158" s="5" t="s">
        <v>63</v>
      </c>
      <c r="E158" s="5" t="s">
        <v>112</v>
      </c>
      <c r="F158" s="5" t="s">
        <v>158</v>
      </c>
      <c r="G158" s="5" t="s">
        <v>163</v>
      </c>
      <c r="H158" s="5" t="s">
        <v>125</v>
      </c>
      <c r="I158" s="6" t="n">
        <v>50</v>
      </c>
      <c r="J158" s="6" t="n">
        <v>80</v>
      </c>
      <c r="K158" s="7" t="n">
        <f aca="false">IF(COUNT(I158:J158)=0,"",AVERAGE(I158:J158))</f>
        <v>65</v>
      </c>
      <c r="L158" s="5" t="s">
        <v>164</v>
      </c>
      <c r="M158" s="5"/>
      <c r="N158" s="8" t="s">
        <v>54</v>
      </c>
      <c r="O158" s="5"/>
    </row>
    <row r="159" customFormat="false" ht="15" hidden="false" customHeight="false" outlineLevel="0" collapsed="false">
      <c r="A159" s="5" t="s">
        <v>155</v>
      </c>
      <c r="B159" s="5" t="s">
        <v>156</v>
      </c>
      <c r="C159" s="5" t="s">
        <v>172</v>
      </c>
      <c r="D159" s="5" t="s">
        <v>63</v>
      </c>
      <c r="E159" s="5" t="s">
        <v>112</v>
      </c>
      <c r="F159" s="5" t="s">
        <v>158</v>
      </c>
      <c r="G159" s="5" t="s">
        <v>165</v>
      </c>
      <c r="H159" s="5" t="s">
        <v>129</v>
      </c>
      <c r="I159" s="6" t="n">
        <v>6</v>
      </c>
      <c r="J159" s="6" t="n">
        <v>18</v>
      </c>
      <c r="K159" s="7" t="n">
        <f aca="false">IF(COUNT(I159:J159)=0,"",AVERAGE(I159:J159))</f>
        <v>12</v>
      </c>
      <c r="L159" s="5" t="s">
        <v>169</v>
      </c>
      <c r="M159" s="5"/>
      <c r="N159" s="8" t="s">
        <v>54</v>
      </c>
      <c r="O159" s="5"/>
    </row>
    <row r="160" customFormat="false" ht="15" hidden="false" customHeight="false" outlineLevel="0" collapsed="false">
      <c r="A160" s="5" t="s">
        <v>155</v>
      </c>
      <c r="B160" s="5" t="s">
        <v>156</v>
      </c>
      <c r="C160" s="5" t="s">
        <v>172</v>
      </c>
      <c r="D160" s="5" t="s">
        <v>63</v>
      </c>
      <c r="E160" s="5" t="s">
        <v>112</v>
      </c>
      <c r="F160" s="5" t="s">
        <v>158</v>
      </c>
      <c r="G160" s="5" t="s">
        <v>166</v>
      </c>
      <c r="H160" s="5" t="s">
        <v>63</v>
      </c>
      <c r="I160" s="6" t="n">
        <v>4</v>
      </c>
      <c r="J160" s="6" t="n">
        <v>4</v>
      </c>
      <c r="K160" s="7" t="n">
        <f aca="false">IF(COUNT(I160:J160)=0,"",AVERAGE(I160:J160))</f>
        <v>4</v>
      </c>
      <c r="L160" s="5" t="s">
        <v>64</v>
      </c>
      <c r="M160" s="5"/>
      <c r="N160" s="8" t="s">
        <v>54</v>
      </c>
      <c r="O160" s="5"/>
    </row>
    <row r="161" customFormat="false" ht="15" hidden="false" customHeight="false" outlineLevel="0" collapsed="false">
      <c r="A161" s="5" t="s">
        <v>155</v>
      </c>
      <c r="B161" s="5" t="s">
        <v>156</v>
      </c>
      <c r="C161" s="5" t="s">
        <v>172</v>
      </c>
      <c r="D161" s="5" t="s">
        <v>63</v>
      </c>
      <c r="E161" s="5" t="s">
        <v>112</v>
      </c>
      <c r="F161" s="5" t="s">
        <v>158</v>
      </c>
      <c r="G161" s="5" t="s">
        <v>167</v>
      </c>
      <c r="H161" s="5" t="s">
        <v>63</v>
      </c>
      <c r="I161" s="6" t="n">
        <v>2</v>
      </c>
      <c r="J161" s="6" t="n">
        <v>2</v>
      </c>
      <c r="K161" s="7" t="n">
        <f aca="false">IF(COUNT(I161:J161)=0,"",AVERAGE(I161:J161))</f>
        <v>2</v>
      </c>
      <c r="L161" s="5" t="s">
        <v>64</v>
      </c>
      <c r="M161" s="5"/>
      <c r="N161" s="8" t="s">
        <v>54</v>
      </c>
      <c r="O161" s="5"/>
    </row>
    <row r="162" customFormat="false" ht="15" hidden="false" customHeight="false" outlineLevel="0" collapsed="false">
      <c r="A162" s="5" t="s">
        <v>155</v>
      </c>
      <c r="B162" s="5" t="s">
        <v>156</v>
      </c>
      <c r="C162" s="5" t="s">
        <v>173</v>
      </c>
      <c r="D162" s="5" t="s">
        <v>63</v>
      </c>
      <c r="E162" s="5" t="s">
        <v>174</v>
      </c>
      <c r="F162" s="5" t="s">
        <v>158</v>
      </c>
      <c r="G162" s="5" t="s">
        <v>159</v>
      </c>
      <c r="H162" s="5" t="s">
        <v>57</v>
      </c>
      <c r="I162" s="6" t="n">
        <v>0.3</v>
      </c>
      <c r="J162" s="6" t="n">
        <v>2</v>
      </c>
      <c r="K162" s="7" t="n">
        <f aca="false">IF(COUNT(I162:J162)=0,"",AVERAGE(I162:J162))</f>
        <v>1.15</v>
      </c>
      <c r="L162" s="5" t="s">
        <v>175</v>
      </c>
      <c r="M162" s="5"/>
      <c r="N162" s="8" t="s">
        <v>54</v>
      </c>
      <c r="O162" s="5" t="s">
        <v>161</v>
      </c>
    </row>
    <row r="163" customFormat="false" ht="15" hidden="false" customHeight="false" outlineLevel="0" collapsed="false">
      <c r="A163" s="5" t="s">
        <v>155</v>
      </c>
      <c r="B163" s="5" t="s">
        <v>156</v>
      </c>
      <c r="C163" s="5" t="s">
        <v>173</v>
      </c>
      <c r="D163" s="5" t="s">
        <v>63</v>
      </c>
      <c r="E163" s="5" t="s">
        <v>174</v>
      </c>
      <c r="F163" s="5" t="s">
        <v>158</v>
      </c>
      <c r="G163" s="5" t="s">
        <v>162</v>
      </c>
      <c r="H163" s="5" t="s">
        <v>57</v>
      </c>
      <c r="I163" s="6" t="n">
        <v>50</v>
      </c>
      <c r="J163" s="6" t="n">
        <v>500</v>
      </c>
      <c r="K163" s="7" t="n">
        <f aca="false">IF(COUNT(I163:J163)=0,"",AVERAGE(I163:J163))</f>
        <v>275</v>
      </c>
      <c r="L163" s="5" t="s">
        <v>175</v>
      </c>
      <c r="M163" s="5"/>
      <c r="N163" s="8" t="s">
        <v>54</v>
      </c>
      <c r="O163" s="5" t="s">
        <v>161</v>
      </c>
    </row>
    <row r="164" customFormat="false" ht="15" hidden="false" customHeight="false" outlineLevel="0" collapsed="false">
      <c r="A164" s="5" t="s">
        <v>155</v>
      </c>
      <c r="B164" s="5" t="s">
        <v>156</v>
      </c>
      <c r="C164" s="5" t="s">
        <v>173</v>
      </c>
      <c r="D164" s="5" t="s">
        <v>63</v>
      </c>
      <c r="E164" s="5" t="s">
        <v>174</v>
      </c>
      <c r="F164" s="5" t="s">
        <v>158</v>
      </c>
      <c r="G164" s="5" t="s">
        <v>163</v>
      </c>
      <c r="H164" s="5" t="s">
        <v>125</v>
      </c>
      <c r="I164" s="6" t="n">
        <v>70</v>
      </c>
      <c r="J164" s="6" t="n">
        <v>90</v>
      </c>
      <c r="K164" s="7" t="n">
        <f aca="false">IF(COUNT(I164:J164)=0,"",AVERAGE(I164:J164))</f>
        <v>80</v>
      </c>
      <c r="L164" s="5" t="s">
        <v>164</v>
      </c>
      <c r="M164" s="5"/>
      <c r="N164" s="8" t="s">
        <v>54</v>
      </c>
      <c r="O164" s="5"/>
    </row>
    <row r="165" customFormat="false" ht="15" hidden="false" customHeight="false" outlineLevel="0" collapsed="false">
      <c r="A165" s="5" t="s">
        <v>155</v>
      </c>
      <c r="B165" s="5" t="s">
        <v>156</v>
      </c>
      <c r="C165" s="5" t="s">
        <v>173</v>
      </c>
      <c r="D165" s="5" t="s">
        <v>63</v>
      </c>
      <c r="E165" s="5" t="s">
        <v>174</v>
      </c>
      <c r="F165" s="5" t="s">
        <v>158</v>
      </c>
      <c r="G165" s="5" t="s">
        <v>165</v>
      </c>
      <c r="H165" s="5" t="s">
        <v>129</v>
      </c>
      <c r="I165" s="6" t="n">
        <v>6</v>
      </c>
      <c r="J165" s="6" t="n">
        <v>12</v>
      </c>
      <c r="K165" s="7" t="n">
        <f aca="false">IF(COUNT(I165:J165)=0,"",AVERAGE(I165:J165))</f>
        <v>9</v>
      </c>
      <c r="L165" s="5" t="s">
        <v>175</v>
      </c>
      <c r="M165" s="5"/>
      <c r="N165" s="8" t="s">
        <v>54</v>
      </c>
      <c r="O165" s="5"/>
    </row>
    <row r="166" customFormat="false" ht="15" hidden="false" customHeight="false" outlineLevel="0" collapsed="false">
      <c r="A166" s="5" t="s">
        <v>155</v>
      </c>
      <c r="B166" s="5" t="s">
        <v>156</v>
      </c>
      <c r="C166" s="5" t="s">
        <v>173</v>
      </c>
      <c r="D166" s="5" t="s">
        <v>63</v>
      </c>
      <c r="E166" s="5" t="s">
        <v>174</v>
      </c>
      <c r="F166" s="5" t="s">
        <v>158</v>
      </c>
      <c r="G166" s="5" t="s">
        <v>166</v>
      </c>
      <c r="H166" s="5" t="s">
        <v>63</v>
      </c>
      <c r="I166" s="6" t="n">
        <v>5</v>
      </c>
      <c r="J166" s="6" t="n">
        <v>5</v>
      </c>
      <c r="K166" s="7" t="n">
        <f aca="false">IF(COUNT(I166:J166)=0,"",AVERAGE(I166:J166))</f>
        <v>5</v>
      </c>
      <c r="L166" s="5" t="s">
        <v>64</v>
      </c>
      <c r="M166" s="5"/>
      <c r="N166" s="8" t="s">
        <v>54</v>
      </c>
      <c r="O166" s="5"/>
    </row>
    <row r="167" customFormat="false" ht="15" hidden="false" customHeight="false" outlineLevel="0" collapsed="false">
      <c r="A167" s="5" t="s">
        <v>155</v>
      </c>
      <c r="B167" s="5" t="s">
        <v>156</v>
      </c>
      <c r="C167" s="5" t="s">
        <v>173</v>
      </c>
      <c r="D167" s="5" t="s">
        <v>63</v>
      </c>
      <c r="E167" s="5" t="s">
        <v>174</v>
      </c>
      <c r="F167" s="5" t="s">
        <v>158</v>
      </c>
      <c r="G167" s="5" t="s">
        <v>167</v>
      </c>
      <c r="H167" s="5" t="s">
        <v>63</v>
      </c>
      <c r="I167" s="6" t="n">
        <v>2</v>
      </c>
      <c r="J167" s="6" t="n">
        <v>2</v>
      </c>
      <c r="K167" s="7" t="n">
        <f aca="false">IF(COUNT(I167:J167)=0,"",AVERAGE(I167:J167))</f>
        <v>2</v>
      </c>
      <c r="L167" s="5" t="s">
        <v>64</v>
      </c>
      <c r="M167" s="5"/>
      <c r="N167" s="8" t="s">
        <v>54</v>
      </c>
      <c r="O167" s="5"/>
    </row>
    <row r="168" customFormat="false" ht="15" hidden="false" customHeight="false" outlineLevel="0" collapsed="false">
      <c r="A168" s="5" t="s">
        <v>155</v>
      </c>
      <c r="B168" s="5" t="s">
        <v>156</v>
      </c>
      <c r="C168" s="5" t="s">
        <v>176</v>
      </c>
      <c r="D168" s="5" t="s">
        <v>63</v>
      </c>
      <c r="E168" s="5" t="s">
        <v>177</v>
      </c>
      <c r="F168" s="5" t="s">
        <v>158</v>
      </c>
      <c r="G168" s="5" t="s">
        <v>159</v>
      </c>
      <c r="H168" s="5" t="s">
        <v>57</v>
      </c>
      <c r="I168" s="6" t="n">
        <v>3</v>
      </c>
      <c r="J168" s="6" t="n">
        <v>12</v>
      </c>
      <c r="K168" s="7" t="n">
        <f aca="false">IF(COUNT(I168:J168)=0,"",AVERAGE(I168:J168))</f>
        <v>7.5</v>
      </c>
      <c r="L168" s="5" t="s">
        <v>169</v>
      </c>
      <c r="M168" s="5"/>
      <c r="N168" s="8" t="s">
        <v>54</v>
      </c>
      <c r="O168" s="5" t="s">
        <v>161</v>
      </c>
    </row>
    <row r="169" customFormat="false" ht="15" hidden="false" customHeight="false" outlineLevel="0" collapsed="false">
      <c r="A169" s="5" t="s">
        <v>155</v>
      </c>
      <c r="B169" s="5" t="s">
        <v>156</v>
      </c>
      <c r="C169" s="5" t="s">
        <v>176</v>
      </c>
      <c r="D169" s="5" t="s">
        <v>63</v>
      </c>
      <c r="E169" s="5" t="s">
        <v>177</v>
      </c>
      <c r="F169" s="5" t="s">
        <v>158</v>
      </c>
      <c r="G169" s="5" t="s">
        <v>162</v>
      </c>
      <c r="H169" s="5" t="s">
        <v>57</v>
      </c>
      <c r="I169" s="6" t="n">
        <v>30</v>
      </c>
      <c r="J169" s="6" t="n">
        <v>150</v>
      </c>
      <c r="K169" s="7" t="n">
        <f aca="false">IF(COUNT(I169:J169)=0,"",AVERAGE(I169:J169))</f>
        <v>90</v>
      </c>
      <c r="L169" s="5" t="s">
        <v>169</v>
      </c>
      <c r="M169" s="5"/>
      <c r="N169" s="8" t="s">
        <v>54</v>
      </c>
      <c r="O169" s="5" t="s">
        <v>161</v>
      </c>
    </row>
    <row r="170" customFormat="false" ht="15" hidden="false" customHeight="false" outlineLevel="0" collapsed="false">
      <c r="A170" s="5" t="s">
        <v>155</v>
      </c>
      <c r="B170" s="5" t="s">
        <v>156</v>
      </c>
      <c r="C170" s="5" t="s">
        <v>176</v>
      </c>
      <c r="D170" s="5" t="s">
        <v>63</v>
      </c>
      <c r="E170" s="5" t="s">
        <v>177</v>
      </c>
      <c r="F170" s="5" t="s">
        <v>158</v>
      </c>
      <c r="G170" s="5" t="s">
        <v>163</v>
      </c>
      <c r="H170" s="5" t="s">
        <v>125</v>
      </c>
      <c r="I170" s="6" t="n">
        <v>50</v>
      </c>
      <c r="J170" s="6" t="n">
        <v>70</v>
      </c>
      <c r="K170" s="7" t="n">
        <f aca="false">IF(COUNT(I170:J170)=0,"",AVERAGE(I170:J170))</f>
        <v>60</v>
      </c>
      <c r="L170" s="5" t="s">
        <v>164</v>
      </c>
      <c r="M170" s="5"/>
      <c r="N170" s="8" t="s">
        <v>54</v>
      </c>
      <c r="O170" s="5"/>
    </row>
    <row r="171" customFormat="false" ht="15" hidden="false" customHeight="false" outlineLevel="0" collapsed="false">
      <c r="A171" s="5" t="s">
        <v>155</v>
      </c>
      <c r="B171" s="5" t="s">
        <v>156</v>
      </c>
      <c r="C171" s="5" t="s">
        <v>176</v>
      </c>
      <c r="D171" s="5" t="s">
        <v>63</v>
      </c>
      <c r="E171" s="5" t="s">
        <v>177</v>
      </c>
      <c r="F171" s="5" t="s">
        <v>158</v>
      </c>
      <c r="G171" s="5" t="s">
        <v>165</v>
      </c>
      <c r="H171" s="5" t="s">
        <v>129</v>
      </c>
      <c r="I171" s="6" t="n">
        <v>12</v>
      </c>
      <c r="J171" s="6" t="n">
        <v>24</v>
      </c>
      <c r="K171" s="7" t="n">
        <f aca="false">IF(COUNT(I171:J171)=0,"",AVERAGE(I171:J171))</f>
        <v>18</v>
      </c>
      <c r="L171" s="5" t="s">
        <v>169</v>
      </c>
      <c r="M171" s="5"/>
      <c r="N171" s="8" t="s">
        <v>54</v>
      </c>
      <c r="O171" s="5"/>
    </row>
    <row r="172" customFormat="false" ht="15" hidden="false" customHeight="false" outlineLevel="0" collapsed="false">
      <c r="A172" s="5" t="s">
        <v>155</v>
      </c>
      <c r="B172" s="5" t="s">
        <v>156</v>
      </c>
      <c r="C172" s="5" t="s">
        <v>176</v>
      </c>
      <c r="D172" s="5" t="s">
        <v>63</v>
      </c>
      <c r="E172" s="5" t="s">
        <v>177</v>
      </c>
      <c r="F172" s="5" t="s">
        <v>158</v>
      </c>
      <c r="G172" s="5" t="s">
        <v>166</v>
      </c>
      <c r="H172" s="5" t="s">
        <v>63</v>
      </c>
      <c r="I172" s="6" t="n">
        <v>3</v>
      </c>
      <c r="J172" s="6" t="n">
        <v>3</v>
      </c>
      <c r="K172" s="7" t="n">
        <f aca="false">IF(COUNT(I172:J172)=0,"",AVERAGE(I172:J172))</f>
        <v>3</v>
      </c>
      <c r="L172" s="5" t="s">
        <v>64</v>
      </c>
      <c r="M172" s="5"/>
      <c r="N172" s="8" t="s">
        <v>54</v>
      </c>
      <c r="O172" s="5"/>
    </row>
    <row r="173" customFormat="false" ht="15" hidden="false" customHeight="false" outlineLevel="0" collapsed="false">
      <c r="A173" s="5" t="s">
        <v>155</v>
      </c>
      <c r="B173" s="5" t="s">
        <v>156</v>
      </c>
      <c r="C173" s="5" t="s">
        <v>176</v>
      </c>
      <c r="D173" s="5" t="s">
        <v>63</v>
      </c>
      <c r="E173" s="5" t="s">
        <v>177</v>
      </c>
      <c r="F173" s="5" t="s">
        <v>158</v>
      </c>
      <c r="G173" s="5" t="s">
        <v>167</v>
      </c>
      <c r="H173" s="5" t="s">
        <v>63</v>
      </c>
      <c r="I173" s="6" t="n">
        <v>5</v>
      </c>
      <c r="J173" s="6" t="n">
        <v>5</v>
      </c>
      <c r="K173" s="7" t="n">
        <f aca="false">IF(COUNT(I173:J173)=0,"",AVERAGE(I173:J173))</f>
        <v>5</v>
      </c>
      <c r="L173" s="5" t="s">
        <v>64</v>
      </c>
      <c r="M173" s="5"/>
      <c r="N173" s="8" t="s">
        <v>54</v>
      </c>
      <c r="O173" s="5"/>
    </row>
    <row r="174" customFormat="false" ht="15" hidden="false" customHeight="false" outlineLevel="0" collapsed="false">
      <c r="A174" s="5" t="s">
        <v>155</v>
      </c>
      <c r="B174" s="5" t="s">
        <v>156</v>
      </c>
      <c r="C174" s="5" t="s">
        <v>178</v>
      </c>
      <c r="D174" s="5" t="s">
        <v>63</v>
      </c>
      <c r="E174" s="5" t="s">
        <v>179</v>
      </c>
      <c r="F174" s="5" t="s">
        <v>158</v>
      </c>
      <c r="G174" s="5" t="s">
        <v>159</v>
      </c>
      <c r="H174" s="5" t="s">
        <v>57</v>
      </c>
      <c r="I174" s="6" t="n">
        <v>0.1</v>
      </c>
      <c r="J174" s="6" t="n">
        <v>1</v>
      </c>
      <c r="K174" s="7" t="n">
        <f aca="false">IF(COUNT(I174:J174)=0,"",AVERAGE(I174:J174))</f>
        <v>0.55</v>
      </c>
      <c r="L174" s="5" t="s">
        <v>169</v>
      </c>
      <c r="M174" s="5"/>
      <c r="N174" s="8" t="s">
        <v>54</v>
      </c>
      <c r="O174" s="5" t="s">
        <v>161</v>
      </c>
    </row>
    <row r="175" customFormat="false" ht="15" hidden="false" customHeight="false" outlineLevel="0" collapsed="false">
      <c r="A175" s="5" t="s">
        <v>155</v>
      </c>
      <c r="B175" s="5" t="s">
        <v>156</v>
      </c>
      <c r="C175" s="5" t="s">
        <v>178</v>
      </c>
      <c r="D175" s="5" t="s">
        <v>63</v>
      </c>
      <c r="E175" s="5" t="s">
        <v>179</v>
      </c>
      <c r="F175" s="5" t="s">
        <v>158</v>
      </c>
      <c r="G175" s="5" t="s">
        <v>162</v>
      </c>
      <c r="H175" s="5" t="s">
        <v>57</v>
      </c>
      <c r="I175" s="6" t="n">
        <v>1</v>
      </c>
      <c r="J175" s="6" t="n">
        <v>10</v>
      </c>
      <c r="K175" s="7" t="n">
        <f aca="false">IF(COUNT(I175:J175)=0,"",AVERAGE(I175:J175))</f>
        <v>5.5</v>
      </c>
      <c r="L175" s="5" t="s">
        <v>169</v>
      </c>
      <c r="M175" s="5"/>
      <c r="N175" s="8" t="s">
        <v>54</v>
      </c>
      <c r="O175" s="5" t="s">
        <v>161</v>
      </c>
    </row>
    <row r="176" customFormat="false" ht="15" hidden="false" customHeight="false" outlineLevel="0" collapsed="false">
      <c r="A176" s="5" t="s">
        <v>155</v>
      </c>
      <c r="B176" s="5" t="s">
        <v>156</v>
      </c>
      <c r="C176" s="5" t="s">
        <v>178</v>
      </c>
      <c r="D176" s="5" t="s">
        <v>63</v>
      </c>
      <c r="E176" s="5" t="s">
        <v>179</v>
      </c>
      <c r="F176" s="5" t="s">
        <v>158</v>
      </c>
      <c r="G176" s="5" t="s">
        <v>163</v>
      </c>
      <c r="H176" s="5" t="s">
        <v>125</v>
      </c>
      <c r="I176" s="6" t="n">
        <v>80</v>
      </c>
      <c r="J176" s="6" t="n">
        <v>95</v>
      </c>
      <c r="K176" s="7" t="n">
        <f aca="false">IF(COUNT(I176:J176)=0,"",AVERAGE(I176:J176))</f>
        <v>87.5</v>
      </c>
      <c r="L176" s="5" t="s">
        <v>164</v>
      </c>
      <c r="M176" s="5"/>
      <c r="N176" s="8" t="s">
        <v>54</v>
      </c>
      <c r="O176" s="5"/>
    </row>
    <row r="177" customFormat="false" ht="15" hidden="false" customHeight="false" outlineLevel="0" collapsed="false">
      <c r="A177" s="5" t="s">
        <v>155</v>
      </c>
      <c r="B177" s="5" t="s">
        <v>156</v>
      </c>
      <c r="C177" s="5" t="s">
        <v>178</v>
      </c>
      <c r="D177" s="5" t="s">
        <v>63</v>
      </c>
      <c r="E177" s="5" t="s">
        <v>179</v>
      </c>
      <c r="F177" s="5" t="s">
        <v>158</v>
      </c>
      <c r="G177" s="5" t="s">
        <v>165</v>
      </c>
      <c r="H177" s="5" t="s">
        <v>129</v>
      </c>
      <c r="I177" s="6" t="n">
        <v>3</v>
      </c>
      <c r="J177" s="6" t="n">
        <v>12</v>
      </c>
      <c r="K177" s="7" t="n">
        <f aca="false">IF(COUNT(I177:J177)=0,"",AVERAGE(I177:J177))</f>
        <v>7.5</v>
      </c>
      <c r="L177" s="5" t="s">
        <v>169</v>
      </c>
      <c r="M177" s="5"/>
      <c r="N177" s="8" t="s">
        <v>54</v>
      </c>
      <c r="O177" s="5"/>
    </row>
    <row r="178" customFormat="false" ht="15" hidden="false" customHeight="false" outlineLevel="0" collapsed="false">
      <c r="A178" s="5" t="s">
        <v>155</v>
      </c>
      <c r="B178" s="5" t="s">
        <v>156</v>
      </c>
      <c r="C178" s="5" t="s">
        <v>178</v>
      </c>
      <c r="D178" s="5" t="s">
        <v>63</v>
      </c>
      <c r="E178" s="5" t="s">
        <v>179</v>
      </c>
      <c r="F178" s="5" t="s">
        <v>158</v>
      </c>
      <c r="G178" s="5" t="s">
        <v>166</v>
      </c>
      <c r="H178" s="5" t="s">
        <v>63</v>
      </c>
      <c r="I178" s="6" t="n">
        <v>3</v>
      </c>
      <c r="J178" s="6" t="n">
        <v>3</v>
      </c>
      <c r="K178" s="7" t="n">
        <f aca="false">IF(COUNT(I178:J178)=0,"",AVERAGE(I178:J178))</f>
        <v>3</v>
      </c>
      <c r="L178" s="5" t="s">
        <v>64</v>
      </c>
      <c r="M178" s="5"/>
      <c r="N178" s="8" t="s">
        <v>54</v>
      </c>
      <c r="O178" s="5"/>
    </row>
    <row r="179" customFormat="false" ht="15" hidden="false" customHeight="false" outlineLevel="0" collapsed="false">
      <c r="A179" s="5" t="s">
        <v>155</v>
      </c>
      <c r="B179" s="5" t="s">
        <v>156</v>
      </c>
      <c r="C179" s="5" t="s">
        <v>178</v>
      </c>
      <c r="D179" s="5" t="s">
        <v>63</v>
      </c>
      <c r="E179" s="5" t="s">
        <v>179</v>
      </c>
      <c r="F179" s="5" t="s">
        <v>158</v>
      </c>
      <c r="G179" s="5" t="s">
        <v>167</v>
      </c>
      <c r="H179" s="5" t="s">
        <v>63</v>
      </c>
      <c r="I179" s="6" t="n">
        <v>2</v>
      </c>
      <c r="J179" s="6" t="n">
        <v>2</v>
      </c>
      <c r="K179" s="7" t="n">
        <f aca="false">IF(COUNT(I179:J179)=0,"",AVERAGE(I179:J179))</f>
        <v>2</v>
      </c>
      <c r="L179" s="5" t="s">
        <v>64</v>
      </c>
      <c r="M179" s="5"/>
      <c r="N179" s="8" t="s">
        <v>54</v>
      </c>
      <c r="O179" s="5"/>
    </row>
    <row r="180" customFormat="false" ht="15" hidden="false" customHeight="false" outlineLevel="0" collapsed="false">
      <c r="A180" s="5" t="s">
        <v>45</v>
      </c>
      <c r="B180" s="5" t="s">
        <v>46</v>
      </c>
      <c r="C180" s="5" t="s">
        <v>47</v>
      </c>
      <c r="D180" s="5" t="s">
        <v>48</v>
      </c>
      <c r="E180" s="5" t="s">
        <v>49</v>
      </c>
      <c r="F180" s="5" t="s">
        <v>50</v>
      </c>
      <c r="G180" s="5" t="s">
        <v>180</v>
      </c>
      <c r="H180" s="5" t="s">
        <v>63</v>
      </c>
      <c r="I180" s="6" t="n">
        <v>2</v>
      </c>
      <c r="J180" s="6" t="n">
        <v>2</v>
      </c>
      <c r="K180" s="7" t="n">
        <f aca="false">IF(COUNT(I180:J180)=0,"",AVERAGE(I180:J180))</f>
        <v>2</v>
      </c>
      <c r="L180" s="5" t="s">
        <v>181</v>
      </c>
      <c r="M180" s="5"/>
      <c r="N180" s="8" t="s">
        <v>54</v>
      </c>
      <c r="O180" s="5" t="s">
        <v>182</v>
      </c>
    </row>
    <row r="181" customFormat="false" ht="15" hidden="false" customHeight="false" outlineLevel="0" collapsed="false">
      <c r="A181" s="5" t="s">
        <v>45</v>
      </c>
      <c r="B181" s="5" t="s">
        <v>46</v>
      </c>
      <c r="C181" s="5" t="s">
        <v>65</v>
      </c>
      <c r="D181" s="5" t="s">
        <v>66</v>
      </c>
      <c r="E181" s="5" t="s">
        <v>49</v>
      </c>
      <c r="F181" s="5" t="s">
        <v>50</v>
      </c>
      <c r="G181" s="5" t="s">
        <v>180</v>
      </c>
      <c r="H181" s="5" t="s">
        <v>63</v>
      </c>
      <c r="I181" s="6" t="n">
        <v>3</v>
      </c>
      <c r="J181" s="6" t="n">
        <v>3</v>
      </c>
      <c r="K181" s="7" t="n">
        <f aca="false">IF(COUNT(I181:J181)=0,"",AVERAGE(I181:J181))</f>
        <v>3</v>
      </c>
      <c r="L181" s="5" t="s">
        <v>181</v>
      </c>
      <c r="M181" s="5"/>
      <c r="N181" s="8" t="s">
        <v>54</v>
      </c>
      <c r="O181" s="5" t="s">
        <v>183</v>
      </c>
    </row>
    <row r="182" customFormat="false" ht="15" hidden="false" customHeight="false" outlineLevel="0" collapsed="false">
      <c r="A182" s="5" t="s">
        <v>45</v>
      </c>
      <c r="B182" s="5" t="s">
        <v>46</v>
      </c>
      <c r="C182" s="5" t="s">
        <v>68</v>
      </c>
      <c r="D182" s="5" t="s">
        <v>69</v>
      </c>
      <c r="E182" s="5" t="s">
        <v>49</v>
      </c>
      <c r="F182" s="5" t="s">
        <v>50</v>
      </c>
      <c r="G182" s="5" t="s">
        <v>180</v>
      </c>
      <c r="H182" s="5" t="s">
        <v>63</v>
      </c>
      <c r="I182" s="6" t="n">
        <v>4</v>
      </c>
      <c r="J182" s="6" t="n">
        <v>4</v>
      </c>
      <c r="K182" s="7" t="n">
        <f aca="false">IF(COUNT(I182:J182)=0,"",AVERAGE(I182:J182))</f>
        <v>4</v>
      </c>
      <c r="L182" s="5" t="s">
        <v>181</v>
      </c>
      <c r="M182" s="5"/>
      <c r="N182" s="8" t="s">
        <v>54</v>
      </c>
      <c r="O182" s="5" t="s">
        <v>184</v>
      </c>
    </row>
    <row r="183" customFormat="false" ht="15" hidden="false" customHeight="false" outlineLevel="0" collapsed="false">
      <c r="A183" s="5" t="s">
        <v>45</v>
      </c>
      <c r="B183" s="5" t="s">
        <v>46</v>
      </c>
      <c r="C183" s="5" t="s">
        <v>70</v>
      </c>
      <c r="D183" s="5" t="s">
        <v>71</v>
      </c>
      <c r="E183" s="5" t="s">
        <v>49</v>
      </c>
      <c r="F183" s="5" t="s">
        <v>50</v>
      </c>
      <c r="G183" s="5" t="s">
        <v>180</v>
      </c>
      <c r="H183" s="5" t="s">
        <v>63</v>
      </c>
      <c r="I183" s="6" t="n">
        <v>4</v>
      </c>
      <c r="J183" s="6" t="n">
        <v>4</v>
      </c>
      <c r="K183" s="7" t="n">
        <f aca="false">IF(COUNT(I183:J183)=0,"",AVERAGE(I183:J183))</f>
        <v>4</v>
      </c>
      <c r="L183" s="5" t="s">
        <v>181</v>
      </c>
      <c r="M183" s="5"/>
      <c r="N183" s="8" t="s">
        <v>54</v>
      </c>
      <c r="O183" s="5" t="s">
        <v>185</v>
      </c>
    </row>
    <row r="184" customFormat="false" ht="15" hidden="false" customHeight="false" outlineLevel="0" collapsed="false">
      <c r="A184" s="5" t="s">
        <v>45</v>
      </c>
      <c r="B184" s="5" t="s">
        <v>46</v>
      </c>
      <c r="C184" s="5" t="s">
        <v>73</v>
      </c>
      <c r="D184" s="5" t="s">
        <v>74</v>
      </c>
      <c r="E184" s="5" t="s">
        <v>49</v>
      </c>
      <c r="F184" s="5" t="s">
        <v>75</v>
      </c>
      <c r="G184" s="5" t="s">
        <v>180</v>
      </c>
      <c r="H184" s="5" t="s">
        <v>63</v>
      </c>
      <c r="I184" s="6" t="n">
        <v>4</v>
      </c>
      <c r="J184" s="6" t="n">
        <v>4</v>
      </c>
      <c r="K184" s="7" t="n">
        <f aca="false">IF(COUNT(I184:J184)=0,"",AVERAGE(I184:J184))</f>
        <v>4</v>
      </c>
      <c r="L184" s="5" t="s">
        <v>181</v>
      </c>
      <c r="M184" s="5"/>
      <c r="N184" s="8" t="s">
        <v>54</v>
      </c>
      <c r="O184" s="5" t="s">
        <v>186</v>
      </c>
    </row>
    <row r="185" customFormat="false" ht="15" hidden="false" customHeight="false" outlineLevel="0" collapsed="false">
      <c r="A185" s="5" t="s">
        <v>45</v>
      </c>
      <c r="B185" s="5" t="s">
        <v>46</v>
      </c>
      <c r="C185" s="5" t="s">
        <v>78</v>
      </c>
      <c r="D185" s="5" t="s">
        <v>63</v>
      </c>
      <c r="E185" s="5" t="s">
        <v>49</v>
      </c>
      <c r="F185" s="5" t="s">
        <v>79</v>
      </c>
      <c r="G185" s="5" t="s">
        <v>180</v>
      </c>
      <c r="H185" s="5" t="s">
        <v>63</v>
      </c>
      <c r="I185" s="6" t="n">
        <v>4</v>
      </c>
      <c r="J185" s="6" t="n">
        <v>4</v>
      </c>
      <c r="K185" s="7" t="n">
        <f aca="false">IF(COUNT(I185:J185)=0,"",AVERAGE(I185:J185))</f>
        <v>4</v>
      </c>
      <c r="L185" s="5" t="s">
        <v>181</v>
      </c>
      <c r="M185" s="5"/>
      <c r="N185" s="8" t="s">
        <v>54</v>
      </c>
      <c r="O185" s="5" t="s">
        <v>187</v>
      </c>
    </row>
    <row r="186" customFormat="false" ht="15" hidden="false" customHeight="false" outlineLevel="0" collapsed="false">
      <c r="A186" s="5" t="s">
        <v>45</v>
      </c>
      <c r="B186" s="5" t="s">
        <v>46</v>
      </c>
      <c r="C186" s="5" t="s">
        <v>47</v>
      </c>
      <c r="D186" s="5" t="s">
        <v>48</v>
      </c>
      <c r="E186" s="5" t="s">
        <v>49</v>
      </c>
      <c r="F186" s="5" t="s">
        <v>50</v>
      </c>
      <c r="G186" s="5" t="s">
        <v>188</v>
      </c>
      <c r="H186" s="5" t="s">
        <v>63</v>
      </c>
      <c r="I186" s="6" t="n">
        <v>1</v>
      </c>
      <c r="J186" s="6" t="n">
        <v>1</v>
      </c>
      <c r="K186" s="7" t="n">
        <f aca="false">IF(COUNT(I186:J186)=0,"",AVERAGE(I186:J186))</f>
        <v>1</v>
      </c>
      <c r="L186" s="5" t="s">
        <v>189</v>
      </c>
      <c r="M186" s="5"/>
      <c r="N186" s="8" t="s">
        <v>54</v>
      </c>
      <c r="O186" s="5"/>
    </row>
    <row r="187" customFormat="false" ht="15" hidden="false" customHeight="false" outlineLevel="0" collapsed="false">
      <c r="A187" s="5" t="s">
        <v>45</v>
      </c>
      <c r="B187" s="5" t="s">
        <v>46</v>
      </c>
      <c r="C187" s="5" t="s">
        <v>65</v>
      </c>
      <c r="D187" s="5" t="s">
        <v>66</v>
      </c>
      <c r="E187" s="5" t="s">
        <v>49</v>
      </c>
      <c r="F187" s="5" t="s">
        <v>50</v>
      </c>
      <c r="G187" s="5" t="s">
        <v>188</v>
      </c>
      <c r="H187" s="5" t="s">
        <v>63</v>
      </c>
      <c r="I187" s="6" t="n">
        <v>3</v>
      </c>
      <c r="J187" s="6" t="n">
        <v>3</v>
      </c>
      <c r="K187" s="7" t="n">
        <f aca="false">IF(COUNT(I187:J187)=0,"",AVERAGE(I187:J187))</f>
        <v>3</v>
      </c>
      <c r="L187" s="5" t="s">
        <v>189</v>
      </c>
      <c r="M187" s="5"/>
      <c r="N187" s="8" t="s">
        <v>54</v>
      </c>
      <c r="O187" s="5"/>
    </row>
    <row r="188" customFormat="false" ht="15" hidden="false" customHeight="false" outlineLevel="0" collapsed="false">
      <c r="A188" s="5" t="s">
        <v>45</v>
      </c>
      <c r="B188" s="5" t="s">
        <v>46</v>
      </c>
      <c r="C188" s="5" t="s">
        <v>68</v>
      </c>
      <c r="D188" s="5" t="s">
        <v>69</v>
      </c>
      <c r="E188" s="5" t="s">
        <v>49</v>
      </c>
      <c r="F188" s="5" t="s">
        <v>50</v>
      </c>
      <c r="G188" s="5" t="s">
        <v>188</v>
      </c>
      <c r="H188" s="5" t="s">
        <v>63</v>
      </c>
      <c r="I188" s="6" t="n">
        <v>3</v>
      </c>
      <c r="J188" s="6" t="n">
        <v>3</v>
      </c>
      <c r="K188" s="7" t="n">
        <f aca="false">IF(COUNT(I188:J188)=0,"",AVERAGE(I188:J188))</f>
        <v>3</v>
      </c>
      <c r="L188" s="5" t="s">
        <v>189</v>
      </c>
      <c r="M188" s="5"/>
      <c r="N188" s="8" t="s">
        <v>54</v>
      </c>
      <c r="O188" s="5"/>
    </row>
    <row r="189" customFormat="false" ht="15" hidden="false" customHeight="false" outlineLevel="0" collapsed="false">
      <c r="A189" s="5" t="s">
        <v>45</v>
      </c>
      <c r="B189" s="5" t="s">
        <v>46</v>
      </c>
      <c r="C189" s="5" t="s">
        <v>70</v>
      </c>
      <c r="D189" s="5" t="s">
        <v>71</v>
      </c>
      <c r="E189" s="5" t="s">
        <v>49</v>
      </c>
      <c r="F189" s="5" t="s">
        <v>50</v>
      </c>
      <c r="G189" s="5" t="s">
        <v>188</v>
      </c>
      <c r="H189" s="5" t="s">
        <v>63</v>
      </c>
      <c r="I189" s="6" t="n">
        <v>2</v>
      </c>
      <c r="J189" s="6" t="n">
        <v>2</v>
      </c>
      <c r="K189" s="7" t="n">
        <f aca="false">IF(COUNT(I189:J189)=0,"",AVERAGE(I189:J189))</f>
        <v>2</v>
      </c>
      <c r="L189" s="5" t="s">
        <v>189</v>
      </c>
      <c r="M189" s="5"/>
      <c r="N189" s="8" t="s">
        <v>54</v>
      </c>
      <c r="O189" s="5"/>
    </row>
    <row r="190" customFormat="false" ht="15" hidden="false" customHeight="false" outlineLevel="0" collapsed="false">
      <c r="A190" s="5" t="s">
        <v>45</v>
      </c>
      <c r="B190" s="5" t="s">
        <v>46</v>
      </c>
      <c r="C190" s="5" t="s">
        <v>73</v>
      </c>
      <c r="D190" s="5" t="s">
        <v>74</v>
      </c>
      <c r="E190" s="5" t="s">
        <v>49</v>
      </c>
      <c r="F190" s="5" t="s">
        <v>75</v>
      </c>
      <c r="G190" s="5" t="s">
        <v>188</v>
      </c>
      <c r="H190" s="5" t="s">
        <v>63</v>
      </c>
      <c r="I190" s="6" t="n">
        <v>4</v>
      </c>
      <c r="J190" s="6" t="n">
        <v>4</v>
      </c>
      <c r="K190" s="7" t="n">
        <f aca="false">IF(COUNT(I190:J190)=0,"",AVERAGE(I190:J190))</f>
        <v>4</v>
      </c>
      <c r="L190" s="5" t="s">
        <v>189</v>
      </c>
      <c r="M190" s="5"/>
      <c r="N190" s="8" t="s">
        <v>54</v>
      </c>
      <c r="O190" s="5" t="s">
        <v>190</v>
      </c>
    </row>
    <row r="191" customFormat="false" ht="15" hidden="false" customHeight="false" outlineLevel="0" collapsed="false">
      <c r="A191" s="5" t="s">
        <v>45</v>
      </c>
      <c r="B191" s="5" t="s">
        <v>46</v>
      </c>
      <c r="C191" s="5" t="s">
        <v>78</v>
      </c>
      <c r="D191" s="5" t="s">
        <v>63</v>
      </c>
      <c r="E191" s="5" t="s">
        <v>49</v>
      </c>
      <c r="F191" s="5" t="s">
        <v>79</v>
      </c>
      <c r="G191" s="5" t="s">
        <v>188</v>
      </c>
      <c r="H191" s="5" t="s">
        <v>63</v>
      </c>
      <c r="I191" s="6" t="n">
        <v>5</v>
      </c>
      <c r="J191" s="6" t="n">
        <v>5</v>
      </c>
      <c r="K191" s="7" t="n">
        <f aca="false">IF(COUNT(I191:J191)=0,"",AVERAGE(I191:J191))</f>
        <v>5</v>
      </c>
      <c r="L191" s="5" t="s">
        <v>189</v>
      </c>
      <c r="M191" s="5"/>
      <c r="N191" s="8" t="s">
        <v>54</v>
      </c>
      <c r="O191" s="5" t="s">
        <v>191</v>
      </c>
    </row>
    <row r="192" customFormat="false" ht="15" hidden="false" customHeight="false" outlineLevel="0" collapsed="false">
      <c r="A192" s="5" t="s">
        <v>45</v>
      </c>
      <c r="B192" s="5" t="s">
        <v>46</v>
      </c>
      <c r="C192" s="5" t="s">
        <v>47</v>
      </c>
      <c r="D192" s="5" t="s">
        <v>48</v>
      </c>
      <c r="E192" s="5" t="s">
        <v>49</v>
      </c>
      <c r="F192" s="5" t="s">
        <v>50</v>
      </c>
      <c r="G192" s="5" t="s">
        <v>192</v>
      </c>
      <c r="H192" s="5" t="s">
        <v>63</v>
      </c>
      <c r="I192" s="6" t="n">
        <v>5</v>
      </c>
      <c r="J192" s="6" t="n">
        <v>5</v>
      </c>
      <c r="K192" s="7" t="n">
        <f aca="false">IF(COUNT(I192:J192)=0,"",AVERAGE(I192:J192))</f>
        <v>5</v>
      </c>
      <c r="L192" s="5" t="s">
        <v>193</v>
      </c>
      <c r="M192" s="5"/>
      <c r="N192" s="8" t="s">
        <v>54</v>
      </c>
      <c r="O192" s="5" t="s">
        <v>194</v>
      </c>
    </row>
    <row r="193" customFormat="false" ht="15" hidden="false" customHeight="false" outlineLevel="0" collapsed="false">
      <c r="A193" s="5" t="s">
        <v>45</v>
      </c>
      <c r="B193" s="5" t="s">
        <v>46</v>
      </c>
      <c r="C193" s="5" t="s">
        <v>65</v>
      </c>
      <c r="D193" s="5" t="s">
        <v>66</v>
      </c>
      <c r="E193" s="5" t="s">
        <v>49</v>
      </c>
      <c r="F193" s="5" t="s">
        <v>50</v>
      </c>
      <c r="G193" s="5" t="s">
        <v>192</v>
      </c>
      <c r="H193" s="5" t="s">
        <v>63</v>
      </c>
      <c r="I193" s="6" t="n">
        <v>4</v>
      </c>
      <c r="J193" s="6" t="n">
        <v>4</v>
      </c>
      <c r="K193" s="7" t="n">
        <f aca="false">IF(COUNT(I193:J193)=0,"",AVERAGE(I193:J193))</f>
        <v>4</v>
      </c>
      <c r="L193" s="5" t="s">
        <v>193</v>
      </c>
      <c r="M193" s="5"/>
      <c r="N193" s="8" t="s">
        <v>54</v>
      </c>
      <c r="O193" s="5" t="s">
        <v>195</v>
      </c>
    </row>
    <row r="194" customFormat="false" ht="15" hidden="false" customHeight="false" outlineLevel="0" collapsed="false">
      <c r="A194" s="5" t="s">
        <v>45</v>
      </c>
      <c r="B194" s="5" t="s">
        <v>46</v>
      </c>
      <c r="C194" s="5" t="s">
        <v>68</v>
      </c>
      <c r="D194" s="5" t="s">
        <v>69</v>
      </c>
      <c r="E194" s="5" t="s">
        <v>49</v>
      </c>
      <c r="F194" s="5" t="s">
        <v>50</v>
      </c>
      <c r="G194" s="5" t="s">
        <v>192</v>
      </c>
      <c r="H194" s="5" t="s">
        <v>63</v>
      </c>
      <c r="I194" s="6" t="n">
        <v>5</v>
      </c>
      <c r="J194" s="6" t="n">
        <v>5</v>
      </c>
      <c r="K194" s="7" t="n">
        <f aca="false">IF(COUNT(I194:J194)=0,"",AVERAGE(I194:J194))</f>
        <v>5</v>
      </c>
      <c r="L194" s="5" t="s">
        <v>193</v>
      </c>
      <c r="M194" s="5"/>
      <c r="N194" s="8" t="s">
        <v>54</v>
      </c>
      <c r="O194" s="5" t="s">
        <v>196</v>
      </c>
    </row>
    <row r="195" customFormat="false" ht="15" hidden="false" customHeight="false" outlineLevel="0" collapsed="false">
      <c r="A195" s="5" t="s">
        <v>45</v>
      </c>
      <c r="B195" s="5" t="s">
        <v>46</v>
      </c>
      <c r="C195" s="5" t="s">
        <v>70</v>
      </c>
      <c r="D195" s="5" t="s">
        <v>71</v>
      </c>
      <c r="E195" s="5" t="s">
        <v>49</v>
      </c>
      <c r="F195" s="5" t="s">
        <v>50</v>
      </c>
      <c r="G195" s="5" t="s">
        <v>192</v>
      </c>
      <c r="H195" s="5" t="s">
        <v>63</v>
      </c>
      <c r="I195" s="6" t="n">
        <v>4</v>
      </c>
      <c r="J195" s="6" t="n">
        <v>4</v>
      </c>
      <c r="K195" s="7" t="n">
        <f aca="false">IF(COUNT(I195:J195)=0,"",AVERAGE(I195:J195))</f>
        <v>4</v>
      </c>
      <c r="L195" s="5" t="s">
        <v>193</v>
      </c>
      <c r="M195" s="5"/>
      <c r="N195" s="8" t="s">
        <v>54</v>
      </c>
      <c r="O195" s="5"/>
    </row>
    <row r="196" customFormat="false" ht="15" hidden="false" customHeight="false" outlineLevel="0" collapsed="false">
      <c r="A196" s="5" t="s">
        <v>45</v>
      </c>
      <c r="B196" s="5" t="s">
        <v>46</v>
      </c>
      <c r="C196" s="5" t="s">
        <v>73</v>
      </c>
      <c r="D196" s="5" t="s">
        <v>74</v>
      </c>
      <c r="E196" s="5" t="s">
        <v>49</v>
      </c>
      <c r="F196" s="5" t="s">
        <v>75</v>
      </c>
      <c r="G196" s="5" t="s">
        <v>192</v>
      </c>
      <c r="H196" s="5" t="s">
        <v>63</v>
      </c>
      <c r="I196" s="6" t="n">
        <v>3</v>
      </c>
      <c r="J196" s="6" t="n">
        <v>3</v>
      </c>
      <c r="K196" s="7" t="n">
        <f aca="false">IF(COUNT(I196:J196)=0,"",AVERAGE(I196:J196))</f>
        <v>3</v>
      </c>
      <c r="L196" s="5" t="s">
        <v>193</v>
      </c>
      <c r="M196" s="5"/>
      <c r="N196" s="8" t="s">
        <v>54</v>
      </c>
      <c r="O196" s="5" t="s">
        <v>197</v>
      </c>
    </row>
    <row r="197" customFormat="false" ht="15" hidden="false" customHeight="false" outlineLevel="0" collapsed="false">
      <c r="A197" s="5" t="s">
        <v>45</v>
      </c>
      <c r="B197" s="5" t="s">
        <v>46</v>
      </c>
      <c r="C197" s="5" t="s">
        <v>78</v>
      </c>
      <c r="D197" s="5" t="s">
        <v>63</v>
      </c>
      <c r="E197" s="5" t="s">
        <v>49</v>
      </c>
      <c r="F197" s="5" t="s">
        <v>79</v>
      </c>
      <c r="G197" s="5" t="s">
        <v>192</v>
      </c>
      <c r="H197" s="5" t="s">
        <v>63</v>
      </c>
      <c r="I197" s="6" t="n">
        <v>2</v>
      </c>
      <c r="J197" s="6" t="n">
        <v>2</v>
      </c>
      <c r="K197" s="7" t="n">
        <f aca="false">IF(COUNT(I197:J197)=0,"",AVERAGE(I197:J197))</f>
        <v>2</v>
      </c>
      <c r="L197" s="5" t="s">
        <v>193</v>
      </c>
      <c r="M197" s="5"/>
      <c r="N197" s="8" t="s">
        <v>54</v>
      </c>
      <c r="O197" s="5" t="s">
        <v>198</v>
      </c>
    </row>
    <row r="198" customFormat="false" ht="15" hidden="false" customHeight="false" outlineLevel="0" collapsed="false">
      <c r="A198" s="5" t="s">
        <v>45</v>
      </c>
      <c r="B198" s="5" t="s">
        <v>81</v>
      </c>
      <c r="C198" s="5" t="s">
        <v>82</v>
      </c>
      <c r="D198" s="5" t="s">
        <v>63</v>
      </c>
      <c r="E198" s="5" t="s">
        <v>83</v>
      </c>
      <c r="F198" s="5" t="s">
        <v>50</v>
      </c>
      <c r="G198" s="5" t="s">
        <v>199</v>
      </c>
      <c r="H198" s="5" t="s">
        <v>63</v>
      </c>
      <c r="I198" s="6" t="n">
        <v>3</v>
      </c>
      <c r="J198" s="6" t="n">
        <v>3</v>
      </c>
      <c r="K198" s="7" t="n">
        <f aca="false">IF(COUNT(I198:J198)=0,"",AVERAGE(I198:J198))</f>
        <v>3</v>
      </c>
      <c r="L198" s="5" t="s">
        <v>200</v>
      </c>
      <c r="M198" s="5"/>
      <c r="N198" s="8" t="s">
        <v>54</v>
      </c>
      <c r="O198" s="5" t="s">
        <v>201</v>
      </c>
    </row>
    <row r="199" customFormat="false" ht="15" hidden="false" customHeight="false" outlineLevel="0" collapsed="false">
      <c r="A199" s="5" t="s">
        <v>45</v>
      </c>
      <c r="B199" s="5" t="s">
        <v>81</v>
      </c>
      <c r="C199" s="5" t="s">
        <v>92</v>
      </c>
      <c r="D199" s="5" t="s">
        <v>63</v>
      </c>
      <c r="E199" s="5" t="s">
        <v>83</v>
      </c>
      <c r="F199" s="5" t="s">
        <v>50</v>
      </c>
      <c r="G199" s="5" t="s">
        <v>199</v>
      </c>
      <c r="H199" s="5" t="s">
        <v>63</v>
      </c>
      <c r="I199" s="6" t="n">
        <v>3</v>
      </c>
      <c r="J199" s="6" t="n">
        <v>3</v>
      </c>
      <c r="K199" s="7" t="n">
        <f aca="false">IF(COUNT(I199:J199)=0,"",AVERAGE(I199:J199))</f>
        <v>3</v>
      </c>
      <c r="L199" s="5" t="s">
        <v>200</v>
      </c>
      <c r="M199" s="5"/>
      <c r="N199" s="8" t="s">
        <v>54</v>
      </c>
      <c r="O199" s="5" t="s">
        <v>202</v>
      </c>
    </row>
    <row r="200" customFormat="false" ht="15" hidden="false" customHeight="false" outlineLevel="0" collapsed="false">
      <c r="A200" s="5" t="s">
        <v>45</v>
      </c>
      <c r="B200" s="5" t="s">
        <v>81</v>
      </c>
      <c r="C200" s="5" t="s">
        <v>94</v>
      </c>
      <c r="D200" s="5" t="s">
        <v>63</v>
      </c>
      <c r="E200" s="5" t="s">
        <v>83</v>
      </c>
      <c r="F200" s="5" t="s">
        <v>50</v>
      </c>
      <c r="G200" s="5" t="s">
        <v>199</v>
      </c>
      <c r="H200" s="5" t="s">
        <v>63</v>
      </c>
      <c r="I200" s="6" t="n">
        <v>5</v>
      </c>
      <c r="J200" s="6" t="n">
        <v>5</v>
      </c>
      <c r="K200" s="7" t="n">
        <f aca="false">IF(COUNT(I200:J200)=0,"",AVERAGE(I200:J200))</f>
        <v>5</v>
      </c>
      <c r="L200" s="5" t="s">
        <v>200</v>
      </c>
      <c r="M200" s="5"/>
      <c r="N200" s="8" t="s">
        <v>54</v>
      </c>
      <c r="O200" s="5" t="s">
        <v>203</v>
      </c>
    </row>
    <row r="201" customFormat="false" ht="15" hidden="false" customHeight="false" outlineLevel="0" collapsed="false">
      <c r="A201" s="5" t="s">
        <v>45</v>
      </c>
      <c r="B201" s="5" t="s">
        <v>81</v>
      </c>
      <c r="C201" s="5" t="s">
        <v>96</v>
      </c>
      <c r="D201" s="5" t="s">
        <v>63</v>
      </c>
      <c r="E201" s="5" t="s">
        <v>83</v>
      </c>
      <c r="F201" s="5" t="s">
        <v>50</v>
      </c>
      <c r="G201" s="5" t="s">
        <v>199</v>
      </c>
      <c r="H201" s="5" t="s">
        <v>63</v>
      </c>
      <c r="I201" s="6" t="n">
        <v>5</v>
      </c>
      <c r="J201" s="6" t="n">
        <v>5</v>
      </c>
      <c r="K201" s="7" t="n">
        <f aca="false">IF(COUNT(I201:J201)=0,"",AVERAGE(I201:J201))</f>
        <v>5</v>
      </c>
      <c r="L201" s="5" t="s">
        <v>200</v>
      </c>
      <c r="M201" s="5"/>
      <c r="N201" s="8" t="s">
        <v>54</v>
      </c>
      <c r="O201" s="5" t="s">
        <v>202</v>
      </c>
    </row>
    <row r="202" customFormat="false" ht="15" hidden="false" customHeight="false" outlineLevel="0" collapsed="false">
      <c r="A202" s="5" t="s">
        <v>45</v>
      </c>
      <c r="B202" s="5" t="s">
        <v>81</v>
      </c>
      <c r="C202" s="5" t="s">
        <v>98</v>
      </c>
      <c r="D202" s="5" t="s">
        <v>63</v>
      </c>
      <c r="E202" s="5" t="s">
        <v>83</v>
      </c>
      <c r="F202" s="5" t="s">
        <v>99</v>
      </c>
      <c r="G202" s="5" t="s">
        <v>199</v>
      </c>
      <c r="H202" s="5" t="s">
        <v>63</v>
      </c>
      <c r="I202" s="6" t="n">
        <v>2</v>
      </c>
      <c r="J202" s="6" t="n">
        <v>2</v>
      </c>
      <c r="K202" s="7" t="n">
        <f aca="false">IF(COUNT(I202:J202)=0,"",AVERAGE(I202:J202))</f>
        <v>2</v>
      </c>
      <c r="L202" s="5" t="s">
        <v>200</v>
      </c>
      <c r="M202" s="5"/>
      <c r="N202" s="8" t="s">
        <v>54</v>
      </c>
      <c r="O202" s="5" t="s">
        <v>204</v>
      </c>
    </row>
    <row r="203" customFormat="false" ht="15" hidden="false" customHeight="false" outlineLevel="0" collapsed="false">
      <c r="A203" s="5" t="s">
        <v>45</v>
      </c>
      <c r="B203" s="5" t="s">
        <v>81</v>
      </c>
      <c r="C203" s="5" t="s">
        <v>82</v>
      </c>
      <c r="D203" s="5" t="s">
        <v>63</v>
      </c>
      <c r="E203" s="5" t="s">
        <v>83</v>
      </c>
      <c r="F203" s="5" t="s">
        <v>50</v>
      </c>
      <c r="G203" s="5" t="s">
        <v>205</v>
      </c>
      <c r="H203" s="5" t="s">
        <v>63</v>
      </c>
      <c r="I203" s="6" t="n">
        <v>2</v>
      </c>
      <c r="J203" s="6" t="n">
        <v>2</v>
      </c>
      <c r="K203" s="7" t="n">
        <f aca="false">IF(COUNT(I203:J203)=0,"",AVERAGE(I203:J203))</f>
        <v>2</v>
      </c>
      <c r="L203" s="5" t="s">
        <v>206</v>
      </c>
      <c r="M203" s="5"/>
      <c r="N203" s="8" t="s">
        <v>54</v>
      </c>
      <c r="O203" s="5" t="s">
        <v>207</v>
      </c>
    </row>
    <row r="204" customFormat="false" ht="15" hidden="false" customHeight="false" outlineLevel="0" collapsed="false">
      <c r="A204" s="5" t="s">
        <v>45</v>
      </c>
      <c r="B204" s="5" t="s">
        <v>81</v>
      </c>
      <c r="C204" s="5" t="s">
        <v>92</v>
      </c>
      <c r="D204" s="5" t="s">
        <v>63</v>
      </c>
      <c r="E204" s="5" t="s">
        <v>83</v>
      </c>
      <c r="F204" s="5" t="s">
        <v>50</v>
      </c>
      <c r="G204" s="5" t="s">
        <v>205</v>
      </c>
      <c r="H204" s="5" t="s">
        <v>63</v>
      </c>
      <c r="I204" s="6" t="n">
        <v>4</v>
      </c>
      <c r="J204" s="6" t="n">
        <v>4</v>
      </c>
      <c r="K204" s="7" t="n">
        <f aca="false">IF(COUNT(I204:J204)=0,"",AVERAGE(I204:J204))</f>
        <v>4</v>
      </c>
      <c r="L204" s="5" t="s">
        <v>206</v>
      </c>
      <c r="M204" s="5"/>
      <c r="N204" s="8" t="s">
        <v>54</v>
      </c>
      <c r="O204" s="5" t="s">
        <v>208</v>
      </c>
    </row>
    <row r="205" customFormat="false" ht="15" hidden="false" customHeight="false" outlineLevel="0" collapsed="false">
      <c r="A205" s="5" t="s">
        <v>45</v>
      </c>
      <c r="B205" s="5" t="s">
        <v>81</v>
      </c>
      <c r="C205" s="5" t="s">
        <v>94</v>
      </c>
      <c r="D205" s="5" t="s">
        <v>63</v>
      </c>
      <c r="E205" s="5" t="s">
        <v>83</v>
      </c>
      <c r="F205" s="5" t="s">
        <v>50</v>
      </c>
      <c r="G205" s="5" t="s">
        <v>205</v>
      </c>
      <c r="H205" s="5" t="s">
        <v>63</v>
      </c>
      <c r="I205" s="6" t="n">
        <v>4</v>
      </c>
      <c r="J205" s="6" t="n">
        <v>4</v>
      </c>
      <c r="K205" s="7" t="n">
        <f aca="false">IF(COUNT(I205:J205)=0,"",AVERAGE(I205:J205))</f>
        <v>4</v>
      </c>
      <c r="L205" s="5" t="s">
        <v>206</v>
      </c>
      <c r="M205" s="5"/>
      <c r="N205" s="8" t="s">
        <v>54</v>
      </c>
      <c r="O205" s="5" t="s">
        <v>202</v>
      </c>
    </row>
    <row r="206" customFormat="false" ht="15" hidden="false" customHeight="false" outlineLevel="0" collapsed="false">
      <c r="A206" s="5" t="s">
        <v>45</v>
      </c>
      <c r="B206" s="5" t="s">
        <v>81</v>
      </c>
      <c r="C206" s="5" t="s">
        <v>96</v>
      </c>
      <c r="D206" s="5" t="s">
        <v>63</v>
      </c>
      <c r="E206" s="5" t="s">
        <v>83</v>
      </c>
      <c r="F206" s="5" t="s">
        <v>50</v>
      </c>
      <c r="G206" s="5" t="s">
        <v>205</v>
      </c>
      <c r="H206" s="5" t="s">
        <v>63</v>
      </c>
      <c r="I206" s="6" t="n">
        <v>5</v>
      </c>
      <c r="J206" s="6" t="n">
        <v>5</v>
      </c>
      <c r="K206" s="7" t="n">
        <f aca="false">IF(COUNT(I206:J206)=0,"",AVERAGE(I206:J206))</f>
        <v>5</v>
      </c>
      <c r="L206" s="5" t="s">
        <v>206</v>
      </c>
      <c r="M206" s="5"/>
      <c r="N206" s="8" t="s">
        <v>54</v>
      </c>
      <c r="O206" s="5" t="s">
        <v>209</v>
      </c>
    </row>
    <row r="207" customFormat="false" ht="15" hidden="false" customHeight="false" outlineLevel="0" collapsed="false">
      <c r="A207" s="5" t="s">
        <v>45</v>
      </c>
      <c r="B207" s="5" t="s">
        <v>81</v>
      </c>
      <c r="C207" s="5" t="s">
        <v>98</v>
      </c>
      <c r="D207" s="5" t="s">
        <v>63</v>
      </c>
      <c r="E207" s="5" t="s">
        <v>83</v>
      </c>
      <c r="F207" s="5" t="s">
        <v>99</v>
      </c>
      <c r="G207" s="5" t="s">
        <v>205</v>
      </c>
      <c r="H207" s="5" t="s">
        <v>63</v>
      </c>
      <c r="I207" s="6" t="n">
        <v>5</v>
      </c>
      <c r="J207" s="6" t="n">
        <v>5</v>
      </c>
      <c r="K207" s="7" t="n">
        <f aca="false">IF(COUNT(I207:J207)=0,"",AVERAGE(I207:J207))</f>
        <v>5</v>
      </c>
      <c r="L207" s="5" t="s">
        <v>206</v>
      </c>
      <c r="M207" s="5"/>
      <c r="N207" s="8" t="s">
        <v>54</v>
      </c>
      <c r="O207" s="5" t="s">
        <v>202</v>
      </c>
    </row>
    <row r="208" customFormat="false" ht="15" hidden="false" customHeight="false" outlineLevel="0" collapsed="false">
      <c r="A208" s="5" t="s">
        <v>45</v>
      </c>
      <c r="B208" s="5" t="s">
        <v>81</v>
      </c>
      <c r="C208" s="5" t="s">
        <v>82</v>
      </c>
      <c r="D208" s="5" t="s">
        <v>63</v>
      </c>
      <c r="E208" s="5" t="s">
        <v>83</v>
      </c>
      <c r="F208" s="5" t="s">
        <v>50</v>
      </c>
      <c r="G208" s="5" t="s">
        <v>180</v>
      </c>
      <c r="H208" s="5" t="s">
        <v>63</v>
      </c>
      <c r="I208" s="6" t="n">
        <v>3</v>
      </c>
      <c r="J208" s="6" t="n">
        <v>3</v>
      </c>
      <c r="K208" s="7" t="n">
        <f aca="false">IF(COUNT(I208:J208)=0,"",AVERAGE(I208:J208))</f>
        <v>3</v>
      </c>
      <c r="L208" s="5" t="s">
        <v>181</v>
      </c>
      <c r="M208" s="5"/>
      <c r="N208" s="8" t="s">
        <v>54</v>
      </c>
      <c r="O208" s="5" t="s">
        <v>210</v>
      </c>
    </row>
    <row r="209" customFormat="false" ht="15" hidden="false" customHeight="false" outlineLevel="0" collapsed="false">
      <c r="A209" s="5" t="s">
        <v>45</v>
      </c>
      <c r="B209" s="5" t="s">
        <v>81</v>
      </c>
      <c r="C209" s="5" t="s">
        <v>92</v>
      </c>
      <c r="D209" s="5" t="s">
        <v>63</v>
      </c>
      <c r="E209" s="5" t="s">
        <v>83</v>
      </c>
      <c r="F209" s="5" t="s">
        <v>50</v>
      </c>
      <c r="G209" s="5" t="s">
        <v>180</v>
      </c>
      <c r="H209" s="5" t="s">
        <v>63</v>
      </c>
      <c r="I209" s="6" t="n">
        <v>3</v>
      </c>
      <c r="J209" s="6" t="n">
        <v>3</v>
      </c>
      <c r="K209" s="7" t="n">
        <f aca="false">IF(COUNT(I209:J209)=0,"",AVERAGE(I209:J209))</f>
        <v>3</v>
      </c>
      <c r="L209" s="5" t="s">
        <v>181</v>
      </c>
      <c r="M209" s="5"/>
      <c r="N209" s="8" t="s">
        <v>54</v>
      </c>
      <c r="O209" s="5"/>
    </row>
    <row r="210" customFormat="false" ht="15" hidden="false" customHeight="false" outlineLevel="0" collapsed="false">
      <c r="A210" s="5" t="s">
        <v>45</v>
      </c>
      <c r="B210" s="5" t="s">
        <v>81</v>
      </c>
      <c r="C210" s="5" t="s">
        <v>94</v>
      </c>
      <c r="D210" s="5" t="s">
        <v>63</v>
      </c>
      <c r="E210" s="5" t="s">
        <v>83</v>
      </c>
      <c r="F210" s="5" t="s">
        <v>50</v>
      </c>
      <c r="G210" s="5" t="s">
        <v>180</v>
      </c>
      <c r="H210" s="5" t="s">
        <v>63</v>
      </c>
      <c r="I210" s="6" t="n">
        <v>5</v>
      </c>
      <c r="J210" s="6" t="n">
        <v>5</v>
      </c>
      <c r="K210" s="7" t="n">
        <f aca="false">IF(COUNT(I210:J210)=0,"",AVERAGE(I210:J210))</f>
        <v>5</v>
      </c>
      <c r="L210" s="5" t="s">
        <v>181</v>
      </c>
      <c r="M210" s="5"/>
      <c r="N210" s="8" t="s">
        <v>54</v>
      </c>
      <c r="O210" s="5"/>
    </row>
    <row r="211" customFormat="false" ht="15" hidden="false" customHeight="false" outlineLevel="0" collapsed="false">
      <c r="A211" s="5" t="s">
        <v>45</v>
      </c>
      <c r="B211" s="5" t="s">
        <v>81</v>
      </c>
      <c r="C211" s="5" t="s">
        <v>96</v>
      </c>
      <c r="D211" s="5" t="s">
        <v>63</v>
      </c>
      <c r="E211" s="5" t="s">
        <v>83</v>
      </c>
      <c r="F211" s="5" t="s">
        <v>50</v>
      </c>
      <c r="G211" s="5" t="s">
        <v>180</v>
      </c>
      <c r="H211" s="5" t="s">
        <v>63</v>
      </c>
      <c r="I211" s="6" t="n">
        <v>5</v>
      </c>
      <c r="J211" s="6" t="n">
        <v>5</v>
      </c>
      <c r="K211" s="7" t="n">
        <f aca="false">IF(COUNT(I211:J211)=0,"",AVERAGE(I211:J211))</f>
        <v>5</v>
      </c>
      <c r="L211" s="5" t="s">
        <v>181</v>
      </c>
      <c r="M211" s="5"/>
      <c r="N211" s="8" t="s">
        <v>54</v>
      </c>
      <c r="O211" s="5"/>
    </row>
    <row r="212" customFormat="false" ht="15" hidden="false" customHeight="false" outlineLevel="0" collapsed="false">
      <c r="A212" s="5" t="s">
        <v>45</v>
      </c>
      <c r="B212" s="5" t="s">
        <v>81</v>
      </c>
      <c r="C212" s="5" t="s">
        <v>98</v>
      </c>
      <c r="D212" s="5" t="s">
        <v>63</v>
      </c>
      <c r="E212" s="5" t="s">
        <v>83</v>
      </c>
      <c r="F212" s="5" t="s">
        <v>99</v>
      </c>
      <c r="G212" s="5" t="s">
        <v>180</v>
      </c>
      <c r="H212" s="5" t="s">
        <v>63</v>
      </c>
      <c r="I212" s="6" t="n">
        <v>2</v>
      </c>
      <c r="J212" s="6" t="n">
        <v>2</v>
      </c>
      <c r="K212" s="7" t="n">
        <f aca="false">IF(COUNT(I212:J212)=0,"",AVERAGE(I212:J212))</f>
        <v>2</v>
      </c>
      <c r="L212" s="5" t="s">
        <v>181</v>
      </c>
      <c r="M212" s="5"/>
      <c r="N212" s="8" t="s">
        <v>54</v>
      </c>
      <c r="O212" s="5" t="s">
        <v>211</v>
      </c>
    </row>
    <row r="213" customFormat="false" ht="15" hidden="false" customHeight="false" outlineLevel="0" collapsed="false">
      <c r="A213" s="5" t="s">
        <v>45</v>
      </c>
      <c r="B213" s="5" t="s">
        <v>81</v>
      </c>
      <c r="C213" s="5" t="s">
        <v>82</v>
      </c>
      <c r="D213" s="5" t="s">
        <v>63</v>
      </c>
      <c r="E213" s="5" t="s">
        <v>83</v>
      </c>
      <c r="F213" s="5" t="s">
        <v>50</v>
      </c>
      <c r="G213" s="5" t="s">
        <v>188</v>
      </c>
      <c r="H213" s="5" t="s">
        <v>63</v>
      </c>
      <c r="I213" s="6" t="n">
        <v>1</v>
      </c>
      <c r="J213" s="6" t="n">
        <v>1</v>
      </c>
      <c r="K213" s="7" t="n">
        <f aca="false">IF(COUNT(I213:J213)=0,"",AVERAGE(I213:J213))</f>
        <v>1</v>
      </c>
      <c r="L213" s="5" t="s">
        <v>189</v>
      </c>
      <c r="M213" s="5"/>
      <c r="N213" s="8" t="s">
        <v>54</v>
      </c>
      <c r="O213" s="5"/>
    </row>
    <row r="214" customFormat="false" ht="15" hidden="false" customHeight="false" outlineLevel="0" collapsed="false">
      <c r="A214" s="5" t="s">
        <v>45</v>
      </c>
      <c r="B214" s="5" t="s">
        <v>81</v>
      </c>
      <c r="C214" s="5" t="s">
        <v>92</v>
      </c>
      <c r="D214" s="5" t="s">
        <v>63</v>
      </c>
      <c r="E214" s="5" t="s">
        <v>83</v>
      </c>
      <c r="F214" s="5" t="s">
        <v>50</v>
      </c>
      <c r="G214" s="5" t="s">
        <v>188</v>
      </c>
      <c r="H214" s="5" t="s">
        <v>63</v>
      </c>
      <c r="I214" s="6" t="n">
        <v>2</v>
      </c>
      <c r="J214" s="6" t="n">
        <v>2</v>
      </c>
      <c r="K214" s="7" t="n">
        <f aca="false">IF(COUNT(I214:J214)=0,"",AVERAGE(I214:J214))</f>
        <v>2</v>
      </c>
      <c r="L214" s="5" t="s">
        <v>189</v>
      </c>
      <c r="M214" s="5"/>
      <c r="N214" s="8" t="s">
        <v>54</v>
      </c>
      <c r="O214" s="5"/>
    </row>
    <row r="215" customFormat="false" ht="15" hidden="false" customHeight="false" outlineLevel="0" collapsed="false">
      <c r="A215" s="5" t="s">
        <v>45</v>
      </c>
      <c r="B215" s="5" t="s">
        <v>81</v>
      </c>
      <c r="C215" s="5" t="s">
        <v>94</v>
      </c>
      <c r="D215" s="5" t="s">
        <v>63</v>
      </c>
      <c r="E215" s="5" t="s">
        <v>83</v>
      </c>
      <c r="F215" s="5" t="s">
        <v>50</v>
      </c>
      <c r="G215" s="5" t="s">
        <v>188</v>
      </c>
      <c r="H215" s="5" t="s">
        <v>63</v>
      </c>
      <c r="I215" s="6" t="n">
        <v>3</v>
      </c>
      <c r="J215" s="6" t="n">
        <v>3</v>
      </c>
      <c r="K215" s="7" t="n">
        <f aca="false">IF(COUNT(I215:J215)=0,"",AVERAGE(I215:J215))</f>
        <v>3</v>
      </c>
      <c r="L215" s="5" t="s">
        <v>189</v>
      </c>
      <c r="M215" s="5"/>
      <c r="N215" s="8" t="s">
        <v>54</v>
      </c>
      <c r="O215" s="5"/>
    </row>
    <row r="216" customFormat="false" ht="15" hidden="false" customHeight="false" outlineLevel="0" collapsed="false">
      <c r="A216" s="5" t="s">
        <v>45</v>
      </c>
      <c r="B216" s="5" t="s">
        <v>81</v>
      </c>
      <c r="C216" s="5" t="s">
        <v>96</v>
      </c>
      <c r="D216" s="5" t="s">
        <v>63</v>
      </c>
      <c r="E216" s="5" t="s">
        <v>83</v>
      </c>
      <c r="F216" s="5" t="s">
        <v>50</v>
      </c>
      <c r="G216" s="5" t="s">
        <v>188</v>
      </c>
      <c r="H216" s="5" t="s">
        <v>63</v>
      </c>
      <c r="I216" s="6" t="n">
        <v>4</v>
      </c>
      <c r="J216" s="6" t="n">
        <v>4</v>
      </c>
      <c r="K216" s="7" t="n">
        <f aca="false">IF(COUNT(I216:J216)=0,"",AVERAGE(I216:J216))</f>
        <v>4</v>
      </c>
      <c r="L216" s="5" t="s">
        <v>189</v>
      </c>
      <c r="M216" s="5"/>
      <c r="N216" s="8" t="s">
        <v>54</v>
      </c>
      <c r="O216" s="5"/>
    </row>
    <row r="217" customFormat="false" ht="15" hidden="false" customHeight="false" outlineLevel="0" collapsed="false">
      <c r="A217" s="5" t="s">
        <v>45</v>
      </c>
      <c r="B217" s="5" t="s">
        <v>81</v>
      </c>
      <c r="C217" s="5" t="s">
        <v>98</v>
      </c>
      <c r="D217" s="5" t="s">
        <v>63</v>
      </c>
      <c r="E217" s="5" t="s">
        <v>83</v>
      </c>
      <c r="F217" s="5" t="s">
        <v>99</v>
      </c>
      <c r="G217" s="5" t="s">
        <v>188</v>
      </c>
      <c r="H217" s="5" t="s">
        <v>63</v>
      </c>
      <c r="I217" s="6" t="n">
        <v>3</v>
      </c>
      <c r="J217" s="6" t="n">
        <v>3</v>
      </c>
      <c r="K217" s="7" t="n">
        <f aca="false">IF(COUNT(I217:J217)=0,"",AVERAGE(I217:J217))</f>
        <v>3</v>
      </c>
      <c r="L217" s="5" t="s">
        <v>189</v>
      </c>
      <c r="M217" s="5"/>
      <c r="N217" s="8" t="s">
        <v>54</v>
      </c>
      <c r="O217" s="5"/>
    </row>
    <row r="218" customFormat="false" ht="15" hidden="false" customHeight="false" outlineLevel="0" collapsed="false">
      <c r="A218" s="5" t="s">
        <v>101</v>
      </c>
      <c r="B218" s="5" t="s">
        <v>102</v>
      </c>
      <c r="C218" s="5" t="s">
        <v>70</v>
      </c>
      <c r="D218" s="5" t="s">
        <v>71</v>
      </c>
      <c r="E218" s="5" t="s">
        <v>49</v>
      </c>
      <c r="F218" s="5" t="s">
        <v>50</v>
      </c>
      <c r="G218" s="5" t="s">
        <v>180</v>
      </c>
      <c r="H218" s="5" t="s">
        <v>63</v>
      </c>
      <c r="I218" s="6" t="n">
        <v>4</v>
      </c>
      <c r="J218" s="6" t="n">
        <v>4</v>
      </c>
      <c r="K218" s="7" t="n">
        <f aca="false">IF(COUNT(I218:J218)=0,"",AVERAGE(I218:J218))</f>
        <v>4</v>
      </c>
      <c r="L218" s="5" t="s">
        <v>181</v>
      </c>
      <c r="M218" s="5"/>
      <c r="N218" s="8" t="s">
        <v>54</v>
      </c>
      <c r="O218" s="5" t="s">
        <v>212</v>
      </c>
    </row>
    <row r="219" customFormat="false" ht="15" hidden="false" customHeight="false" outlineLevel="0" collapsed="false">
      <c r="A219" s="5" t="s">
        <v>101</v>
      </c>
      <c r="B219" s="5" t="s">
        <v>102</v>
      </c>
      <c r="C219" s="5" t="s">
        <v>68</v>
      </c>
      <c r="D219" s="5" t="s">
        <v>69</v>
      </c>
      <c r="E219" s="5" t="s">
        <v>49</v>
      </c>
      <c r="F219" s="5" t="s">
        <v>50</v>
      </c>
      <c r="G219" s="5" t="s">
        <v>180</v>
      </c>
      <c r="H219" s="5" t="s">
        <v>63</v>
      </c>
      <c r="I219" s="6" t="n">
        <v>4</v>
      </c>
      <c r="J219" s="6" t="n">
        <v>4</v>
      </c>
      <c r="K219" s="7" t="n">
        <f aca="false">IF(COUNT(I219:J219)=0,"",AVERAGE(I219:J219))</f>
        <v>4</v>
      </c>
      <c r="L219" s="5" t="s">
        <v>181</v>
      </c>
      <c r="M219" s="5"/>
      <c r="N219" s="8" t="s">
        <v>54</v>
      </c>
      <c r="O219" s="5"/>
    </row>
    <row r="220" customFormat="false" ht="15" hidden="false" customHeight="false" outlineLevel="0" collapsed="false">
      <c r="A220" s="5" t="s">
        <v>101</v>
      </c>
      <c r="B220" s="5" t="s">
        <v>102</v>
      </c>
      <c r="C220" s="5" t="s">
        <v>108</v>
      </c>
      <c r="D220" s="5" t="s">
        <v>63</v>
      </c>
      <c r="E220" s="5" t="s">
        <v>49</v>
      </c>
      <c r="F220" s="5" t="s">
        <v>50</v>
      </c>
      <c r="G220" s="5" t="s">
        <v>180</v>
      </c>
      <c r="H220" s="5" t="s">
        <v>63</v>
      </c>
      <c r="I220" s="6" t="n">
        <v>4</v>
      </c>
      <c r="J220" s="6" t="n">
        <v>4</v>
      </c>
      <c r="K220" s="7" t="n">
        <f aca="false">IF(COUNT(I220:J220)=0,"",AVERAGE(I220:J220))</f>
        <v>4</v>
      </c>
      <c r="L220" s="5" t="s">
        <v>181</v>
      </c>
      <c r="M220" s="5"/>
      <c r="N220" s="8" t="s">
        <v>54</v>
      </c>
      <c r="O220" s="5"/>
    </row>
    <row r="221" customFormat="false" ht="15" hidden="false" customHeight="false" outlineLevel="0" collapsed="false">
      <c r="A221" s="5" t="s">
        <v>101</v>
      </c>
      <c r="B221" s="5" t="s">
        <v>102</v>
      </c>
      <c r="C221" s="5" t="s">
        <v>110</v>
      </c>
      <c r="D221" s="5" t="s">
        <v>111</v>
      </c>
      <c r="E221" s="5" t="s">
        <v>112</v>
      </c>
      <c r="F221" s="5" t="s">
        <v>50</v>
      </c>
      <c r="G221" s="5" t="s">
        <v>180</v>
      </c>
      <c r="H221" s="5" t="s">
        <v>63</v>
      </c>
      <c r="I221" s="6" t="n">
        <v>5</v>
      </c>
      <c r="J221" s="6" t="n">
        <v>5</v>
      </c>
      <c r="K221" s="7" t="n">
        <f aca="false">IF(COUNT(I221:J221)=0,"",AVERAGE(I221:J221))</f>
        <v>5</v>
      </c>
      <c r="L221" s="5" t="s">
        <v>181</v>
      </c>
      <c r="M221" s="5"/>
      <c r="N221" s="8" t="s">
        <v>54</v>
      </c>
      <c r="O221" s="5" t="s">
        <v>213</v>
      </c>
    </row>
    <row r="222" customFormat="false" ht="15" hidden="false" customHeight="false" outlineLevel="0" collapsed="false">
      <c r="A222" s="5" t="s">
        <v>101</v>
      </c>
      <c r="B222" s="5" t="s">
        <v>102</v>
      </c>
      <c r="C222" s="5" t="s">
        <v>115</v>
      </c>
      <c r="D222" s="5" t="s">
        <v>116</v>
      </c>
      <c r="E222" s="5" t="s">
        <v>117</v>
      </c>
      <c r="F222" s="5" t="s">
        <v>75</v>
      </c>
      <c r="G222" s="5" t="s">
        <v>180</v>
      </c>
      <c r="H222" s="5" t="s">
        <v>63</v>
      </c>
      <c r="I222" s="6" t="n">
        <v>5</v>
      </c>
      <c r="J222" s="6" t="n">
        <v>5</v>
      </c>
      <c r="K222" s="7" t="n">
        <f aca="false">IF(COUNT(I222:J222)=0,"",AVERAGE(I222:J222))</f>
        <v>5</v>
      </c>
      <c r="L222" s="5" t="s">
        <v>181</v>
      </c>
      <c r="M222" s="5"/>
      <c r="N222" s="8" t="s">
        <v>54</v>
      </c>
      <c r="O222" s="5"/>
    </row>
    <row r="223" customFormat="false" ht="15" hidden="false" customHeight="false" outlineLevel="0" collapsed="false">
      <c r="A223" s="5" t="s">
        <v>101</v>
      </c>
      <c r="B223" s="5" t="s">
        <v>102</v>
      </c>
      <c r="C223" s="5" t="s">
        <v>70</v>
      </c>
      <c r="D223" s="5" t="s">
        <v>71</v>
      </c>
      <c r="E223" s="5" t="s">
        <v>49</v>
      </c>
      <c r="F223" s="5" t="s">
        <v>50</v>
      </c>
      <c r="G223" s="5" t="s">
        <v>188</v>
      </c>
      <c r="H223" s="5" t="s">
        <v>63</v>
      </c>
      <c r="I223" s="6" t="n">
        <v>2</v>
      </c>
      <c r="J223" s="6" t="n">
        <v>2</v>
      </c>
      <c r="K223" s="7" t="n">
        <f aca="false">IF(COUNT(I223:J223)=0,"",AVERAGE(I223:J223))</f>
        <v>2</v>
      </c>
      <c r="L223" s="5" t="s">
        <v>189</v>
      </c>
      <c r="M223" s="5"/>
      <c r="N223" s="8" t="s">
        <v>54</v>
      </c>
      <c r="O223" s="5"/>
    </row>
    <row r="224" customFormat="false" ht="15" hidden="false" customHeight="false" outlineLevel="0" collapsed="false">
      <c r="A224" s="5" t="s">
        <v>101</v>
      </c>
      <c r="B224" s="5" t="s">
        <v>102</v>
      </c>
      <c r="C224" s="5" t="s">
        <v>68</v>
      </c>
      <c r="D224" s="5" t="s">
        <v>69</v>
      </c>
      <c r="E224" s="5" t="s">
        <v>49</v>
      </c>
      <c r="F224" s="5" t="s">
        <v>50</v>
      </c>
      <c r="G224" s="5" t="s">
        <v>188</v>
      </c>
      <c r="H224" s="5" t="s">
        <v>63</v>
      </c>
      <c r="I224" s="6" t="n">
        <v>2</v>
      </c>
      <c r="J224" s="6" t="n">
        <v>2</v>
      </c>
      <c r="K224" s="7" t="n">
        <f aca="false">IF(COUNT(I224:J224)=0,"",AVERAGE(I224:J224))</f>
        <v>2</v>
      </c>
      <c r="L224" s="5" t="s">
        <v>189</v>
      </c>
      <c r="M224" s="5"/>
      <c r="N224" s="8" t="s">
        <v>54</v>
      </c>
      <c r="O224" s="5"/>
    </row>
    <row r="225" customFormat="false" ht="15" hidden="false" customHeight="false" outlineLevel="0" collapsed="false">
      <c r="A225" s="5" t="s">
        <v>101</v>
      </c>
      <c r="B225" s="5" t="s">
        <v>102</v>
      </c>
      <c r="C225" s="5" t="s">
        <v>108</v>
      </c>
      <c r="D225" s="5" t="s">
        <v>63</v>
      </c>
      <c r="E225" s="5" t="s">
        <v>49</v>
      </c>
      <c r="F225" s="5" t="s">
        <v>50</v>
      </c>
      <c r="G225" s="5" t="s">
        <v>188</v>
      </c>
      <c r="H225" s="5" t="s">
        <v>63</v>
      </c>
      <c r="I225" s="6" t="n">
        <v>4</v>
      </c>
      <c r="J225" s="6" t="n">
        <v>4</v>
      </c>
      <c r="K225" s="7" t="n">
        <f aca="false">IF(COUNT(I225:J225)=0,"",AVERAGE(I225:J225))</f>
        <v>4</v>
      </c>
      <c r="L225" s="5" t="s">
        <v>189</v>
      </c>
      <c r="M225" s="5"/>
      <c r="N225" s="8" t="s">
        <v>54</v>
      </c>
      <c r="O225" s="5" t="s">
        <v>214</v>
      </c>
    </row>
    <row r="226" customFormat="false" ht="15" hidden="false" customHeight="false" outlineLevel="0" collapsed="false">
      <c r="A226" s="5" t="s">
        <v>101</v>
      </c>
      <c r="B226" s="5" t="s">
        <v>102</v>
      </c>
      <c r="C226" s="5" t="s">
        <v>110</v>
      </c>
      <c r="D226" s="5" t="s">
        <v>111</v>
      </c>
      <c r="E226" s="5" t="s">
        <v>112</v>
      </c>
      <c r="F226" s="5" t="s">
        <v>50</v>
      </c>
      <c r="G226" s="5" t="s">
        <v>188</v>
      </c>
      <c r="H226" s="5" t="s">
        <v>63</v>
      </c>
      <c r="I226" s="6" t="n">
        <v>4</v>
      </c>
      <c r="J226" s="6" t="n">
        <v>4</v>
      </c>
      <c r="K226" s="7" t="n">
        <f aca="false">IF(COUNT(I226:J226)=0,"",AVERAGE(I226:J226))</f>
        <v>4</v>
      </c>
      <c r="L226" s="5" t="s">
        <v>189</v>
      </c>
      <c r="M226" s="5"/>
      <c r="N226" s="8" t="s">
        <v>54</v>
      </c>
      <c r="O226" s="5" t="s">
        <v>215</v>
      </c>
    </row>
    <row r="227" customFormat="false" ht="15" hidden="false" customHeight="false" outlineLevel="0" collapsed="false">
      <c r="A227" s="5" t="s">
        <v>101</v>
      </c>
      <c r="B227" s="5" t="s">
        <v>102</v>
      </c>
      <c r="C227" s="5" t="s">
        <v>115</v>
      </c>
      <c r="D227" s="5" t="s">
        <v>116</v>
      </c>
      <c r="E227" s="5" t="s">
        <v>117</v>
      </c>
      <c r="F227" s="5" t="s">
        <v>75</v>
      </c>
      <c r="G227" s="5" t="s">
        <v>188</v>
      </c>
      <c r="H227" s="5" t="s">
        <v>63</v>
      </c>
      <c r="I227" s="6" t="n">
        <v>2</v>
      </c>
      <c r="J227" s="6" t="n">
        <v>2</v>
      </c>
      <c r="K227" s="7" t="n">
        <f aca="false">IF(COUNT(I227:J227)=0,"",AVERAGE(I227:J227))</f>
        <v>2</v>
      </c>
      <c r="L227" s="5" t="s">
        <v>189</v>
      </c>
      <c r="M227" s="5"/>
      <c r="N227" s="8" t="s">
        <v>54</v>
      </c>
      <c r="O227" s="5"/>
    </row>
    <row r="228" customFormat="false" ht="15" hidden="false" customHeight="false" outlineLevel="0" collapsed="false">
      <c r="A228" s="5" t="s">
        <v>101</v>
      </c>
      <c r="B228" s="5" t="s">
        <v>102</v>
      </c>
      <c r="C228" s="5" t="s">
        <v>70</v>
      </c>
      <c r="D228" s="5" t="s">
        <v>71</v>
      </c>
      <c r="E228" s="5" t="s">
        <v>49</v>
      </c>
      <c r="F228" s="5" t="s">
        <v>50</v>
      </c>
      <c r="G228" s="5" t="s">
        <v>216</v>
      </c>
      <c r="H228" s="5" t="s">
        <v>63</v>
      </c>
      <c r="I228" s="6" t="n">
        <v>5</v>
      </c>
      <c r="J228" s="6" t="n">
        <v>5</v>
      </c>
      <c r="K228" s="7" t="n">
        <f aca="false">IF(COUNT(I228:J228)=0,"",AVERAGE(I228:J228))</f>
        <v>5</v>
      </c>
      <c r="L228" s="5" t="s">
        <v>193</v>
      </c>
      <c r="M228" s="5"/>
      <c r="N228" s="8" t="s">
        <v>54</v>
      </c>
      <c r="O228" s="5" t="s">
        <v>217</v>
      </c>
    </row>
    <row r="229" customFormat="false" ht="15" hidden="false" customHeight="false" outlineLevel="0" collapsed="false">
      <c r="A229" s="5" t="s">
        <v>101</v>
      </c>
      <c r="B229" s="5" t="s">
        <v>102</v>
      </c>
      <c r="C229" s="5" t="s">
        <v>68</v>
      </c>
      <c r="D229" s="5" t="s">
        <v>69</v>
      </c>
      <c r="E229" s="5" t="s">
        <v>49</v>
      </c>
      <c r="F229" s="5" t="s">
        <v>50</v>
      </c>
      <c r="G229" s="5" t="s">
        <v>216</v>
      </c>
      <c r="H229" s="5" t="s">
        <v>63</v>
      </c>
      <c r="I229" s="6" t="n">
        <v>4</v>
      </c>
      <c r="J229" s="6" t="n">
        <v>4</v>
      </c>
      <c r="K229" s="7" t="n">
        <f aca="false">IF(COUNT(I229:J229)=0,"",AVERAGE(I229:J229))</f>
        <v>4</v>
      </c>
      <c r="L229" s="5" t="s">
        <v>193</v>
      </c>
      <c r="M229" s="5"/>
      <c r="N229" s="8" t="s">
        <v>54</v>
      </c>
      <c r="O229" s="5"/>
    </row>
    <row r="230" customFormat="false" ht="15" hidden="false" customHeight="false" outlineLevel="0" collapsed="false">
      <c r="A230" s="5" t="s">
        <v>101</v>
      </c>
      <c r="B230" s="5" t="s">
        <v>102</v>
      </c>
      <c r="C230" s="5" t="s">
        <v>108</v>
      </c>
      <c r="D230" s="5" t="s">
        <v>63</v>
      </c>
      <c r="E230" s="5" t="s">
        <v>49</v>
      </c>
      <c r="F230" s="5" t="s">
        <v>50</v>
      </c>
      <c r="G230" s="5" t="s">
        <v>216</v>
      </c>
      <c r="H230" s="5" t="s">
        <v>63</v>
      </c>
      <c r="I230" s="6" t="n">
        <v>4</v>
      </c>
      <c r="J230" s="6" t="n">
        <v>4</v>
      </c>
      <c r="K230" s="7" t="n">
        <f aca="false">IF(COUNT(I230:J230)=0,"",AVERAGE(I230:J230))</f>
        <v>4</v>
      </c>
      <c r="L230" s="5" t="s">
        <v>193</v>
      </c>
      <c r="M230" s="5"/>
      <c r="N230" s="8" t="s">
        <v>54</v>
      </c>
      <c r="O230" s="5"/>
    </row>
    <row r="231" customFormat="false" ht="15" hidden="false" customHeight="false" outlineLevel="0" collapsed="false">
      <c r="A231" s="5" t="s">
        <v>101</v>
      </c>
      <c r="B231" s="5" t="s">
        <v>102</v>
      </c>
      <c r="C231" s="5" t="s">
        <v>110</v>
      </c>
      <c r="D231" s="5" t="s">
        <v>111</v>
      </c>
      <c r="E231" s="5" t="s">
        <v>112</v>
      </c>
      <c r="F231" s="5" t="s">
        <v>50</v>
      </c>
      <c r="G231" s="5" t="s">
        <v>216</v>
      </c>
      <c r="H231" s="5" t="s">
        <v>63</v>
      </c>
      <c r="I231" s="6" t="n">
        <v>3</v>
      </c>
      <c r="J231" s="6" t="n">
        <v>3</v>
      </c>
      <c r="K231" s="7" t="n">
        <f aca="false">IF(COUNT(I231:J231)=0,"",AVERAGE(I231:J231))</f>
        <v>3</v>
      </c>
      <c r="L231" s="5" t="s">
        <v>193</v>
      </c>
      <c r="M231" s="5"/>
      <c r="N231" s="8" t="s">
        <v>54</v>
      </c>
      <c r="O231" s="5" t="s">
        <v>218</v>
      </c>
    </row>
    <row r="232" customFormat="false" ht="15" hidden="false" customHeight="false" outlineLevel="0" collapsed="false">
      <c r="A232" s="5" t="s">
        <v>101</v>
      </c>
      <c r="B232" s="5" t="s">
        <v>102</v>
      </c>
      <c r="C232" s="5" t="s">
        <v>115</v>
      </c>
      <c r="D232" s="5" t="s">
        <v>116</v>
      </c>
      <c r="E232" s="5" t="s">
        <v>117</v>
      </c>
      <c r="F232" s="5" t="s">
        <v>75</v>
      </c>
      <c r="G232" s="5" t="s">
        <v>216</v>
      </c>
      <c r="H232" s="5" t="s">
        <v>63</v>
      </c>
      <c r="I232" s="6" t="n">
        <v>4</v>
      </c>
      <c r="J232" s="6" t="n">
        <v>4</v>
      </c>
      <c r="K232" s="7" t="n">
        <f aca="false">IF(COUNT(I232:J232)=0,"",AVERAGE(I232:J232))</f>
        <v>4</v>
      </c>
      <c r="L232" s="5" t="s">
        <v>193</v>
      </c>
      <c r="M232" s="5"/>
      <c r="N232" s="8" t="s">
        <v>54</v>
      </c>
      <c r="O232" s="5" t="s">
        <v>219</v>
      </c>
    </row>
    <row r="233" customFormat="false" ht="15" hidden="false" customHeight="false" outlineLevel="0" collapsed="false">
      <c r="A233" s="5" t="s">
        <v>119</v>
      </c>
      <c r="B233" s="5" t="s">
        <v>120</v>
      </c>
      <c r="C233" s="5" t="s">
        <v>47</v>
      </c>
      <c r="D233" s="5" t="s">
        <v>48</v>
      </c>
      <c r="E233" s="5" t="s">
        <v>49</v>
      </c>
      <c r="F233" s="5" t="s">
        <v>121</v>
      </c>
      <c r="G233" s="5" t="s">
        <v>180</v>
      </c>
      <c r="H233" s="5" t="s">
        <v>63</v>
      </c>
      <c r="I233" s="6" t="n">
        <v>2</v>
      </c>
      <c r="J233" s="6" t="n">
        <v>2</v>
      </c>
      <c r="K233" s="7" t="n">
        <f aca="false">IF(COUNT(I233:J233)=0,"",AVERAGE(I233:J233))</f>
        <v>2</v>
      </c>
      <c r="L233" s="5" t="s">
        <v>181</v>
      </c>
      <c r="M233" s="5"/>
      <c r="N233" s="8" t="s">
        <v>54</v>
      </c>
      <c r="O233" s="5" t="s">
        <v>220</v>
      </c>
    </row>
    <row r="234" customFormat="false" ht="15" hidden="false" customHeight="false" outlineLevel="0" collapsed="false">
      <c r="A234" s="5" t="s">
        <v>119</v>
      </c>
      <c r="B234" s="5" t="s">
        <v>120</v>
      </c>
      <c r="C234" s="5" t="s">
        <v>131</v>
      </c>
      <c r="D234" s="5" t="s">
        <v>132</v>
      </c>
      <c r="E234" s="5" t="s">
        <v>49</v>
      </c>
      <c r="F234" s="5" t="s">
        <v>50</v>
      </c>
      <c r="G234" s="5" t="s">
        <v>180</v>
      </c>
      <c r="H234" s="5" t="s">
        <v>63</v>
      </c>
      <c r="I234" s="6" t="n">
        <v>3</v>
      </c>
      <c r="J234" s="6" t="n">
        <v>3</v>
      </c>
      <c r="K234" s="7" t="n">
        <f aca="false">IF(COUNT(I234:J234)=0,"",AVERAGE(I234:J234))</f>
        <v>3</v>
      </c>
      <c r="L234" s="5" t="s">
        <v>181</v>
      </c>
      <c r="M234" s="5"/>
      <c r="N234" s="8" t="s">
        <v>54</v>
      </c>
      <c r="O234" s="5" t="s">
        <v>221</v>
      </c>
    </row>
    <row r="235" customFormat="false" ht="15" hidden="false" customHeight="false" outlineLevel="0" collapsed="false">
      <c r="A235" s="5" t="s">
        <v>119</v>
      </c>
      <c r="B235" s="5" t="s">
        <v>120</v>
      </c>
      <c r="C235" s="5" t="s">
        <v>134</v>
      </c>
      <c r="D235" s="5" t="s">
        <v>135</v>
      </c>
      <c r="E235" s="5" t="s">
        <v>49</v>
      </c>
      <c r="F235" s="5" t="s">
        <v>50</v>
      </c>
      <c r="G235" s="5" t="s">
        <v>180</v>
      </c>
      <c r="H235" s="5" t="s">
        <v>63</v>
      </c>
      <c r="I235" s="6" t="n">
        <v>3</v>
      </c>
      <c r="J235" s="6" t="n">
        <v>3</v>
      </c>
      <c r="K235" s="7" t="n">
        <f aca="false">IF(COUNT(I235:J235)=0,"",AVERAGE(I235:J235))</f>
        <v>3</v>
      </c>
      <c r="L235" s="5" t="s">
        <v>181</v>
      </c>
      <c r="M235" s="5"/>
      <c r="N235" s="8" t="s">
        <v>54</v>
      </c>
      <c r="O235" s="5" t="s">
        <v>221</v>
      </c>
    </row>
    <row r="236" customFormat="false" ht="15" hidden="false" customHeight="false" outlineLevel="0" collapsed="false">
      <c r="A236" s="5" t="s">
        <v>119</v>
      </c>
      <c r="B236" s="5" t="s">
        <v>120</v>
      </c>
      <c r="C236" s="5" t="s">
        <v>137</v>
      </c>
      <c r="D236" s="5" t="s">
        <v>63</v>
      </c>
      <c r="E236" s="5" t="s">
        <v>49</v>
      </c>
      <c r="F236" s="5" t="s">
        <v>50</v>
      </c>
      <c r="G236" s="5" t="s">
        <v>180</v>
      </c>
      <c r="H236" s="5" t="s">
        <v>63</v>
      </c>
      <c r="I236" s="6" t="n">
        <v>3</v>
      </c>
      <c r="J236" s="6" t="n">
        <v>3</v>
      </c>
      <c r="K236" s="7" t="n">
        <f aca="false">IF(COUNT(I236:J236)=0,"",AVERAGE(I236:J236))</f>
        <v>3</v>
      </c>
      <c r="L236" s="5" t="s">
        <v>181</v>
      </c>
      <c r="M236" s="5"/>
      <c r="N236" s="8" t="s">
        <v>54</v>
      </c>
      <c r="O236" s="5" t="s">
        <v>222</v>
      </c>
    </row>
    <row r="237" customFormat="false" ht="15" hidden="false" customHeight="false" outlineLevel="0" collapsed="false">
      <c r="A237" s="5" t="s">
        <v>119</v>
      </c>
      <c r="B237" s="5" t="s">
        <v>120</v>
      </c>
      <c r="C237" s="5" t="s">
        <v>139</v>
      </c>
      <c r="D237" s="5" t="s">
        <v>140</v>
      </c>
      <c r="E237" s="5" t="s">
        <v>141</v>
      </c>
      <c r="F237" s="5" t="s">
        <v>142</v>
      </c>
      <c r="G237" s="5" t="s">
        <v>180</v>
      </c>
      <c r="H237" s="5" t="s">
        <v>63</v>
      </c>
      <c r="I237" s="6" t="n">
        <v>4</v>
      </c>
      <c r="J237" s="6" t="n">
        <v>4</v>
      </c>
      <c r="K237" s="7" t="n">
        <f aca="false">IF(COUNT(I237:J237)=0,"",AVERAGE(I237:J237))</f>
        <v>4</v>
      </c>
      <c r="L237" s="5" t="s">
        <v>181</v>
      </c>
      <c r="M237" s="5"/>
      <c r="N237" s="8" t="s">
        <v>54</v>
      </c>
      <c r="O237" s="5" t="s">
        <v>221</v>
      </c>
    </row>
    <row r="238" customFormat="false" ht="15" hidden="false" customHeight="false" outlineLevel="0" collapsed="false">
      <c r="A238" s="5" t="s">
        <v>119</v>
      </c>
      <c r="B238" s="5" t="s">
        <v>120</v>
      </c>
      <c r="C238" s="5" t="s">
        <v>144</v>
      </c>
      <c r="D238" s="5" t="s">
        <v>63</v>
      </c>
      <c r="E238" s="5" t="s">
        <v>145</v>
      </c>
      <c r="F238" s="5" t="s">
        <v>146</v>
      </c>
      <c r="G238" s="5" t="s">
        <v>180</v>
      </c>
      <c r="H238" s="5" t="s">
        <v>63</v>
      </c>
      <c r="I238" s="6" t="n">
        <v>5</v>
      </c>
      <c r="J238" s="6" t="n">
        <v>5</v>
      </c>
      <c r="K238" s="7" t="n">
        <f aca="false">IF(COUNT(I238:J238)=0,"",AVERAGE(I238:J238))</f>
        <v>5</v>
      </c>
      <c r="L238" s="5" t="s">
        <v>181</v>
      </c>
      <c r="M238" s="5"/>
      <c r="N238" s="8" t="s">
        <v>54</v>
      </c>
      <c r="O238" s="5" t="s">
        <v>223</v>
      </c>
    </row>
    <row r="239" customFormat="false" ht="15" hidden="false" customHeight="false" outlineLevel="0" collapsed="false">
      <c r="A239" s="5" t="s">
        <v>119</v>
      </c>
      <c r="B239" s="5" t="s">
        <v>120</v>
      </c>
      <c r="C239" s="5" t="s">
        <v>150</v>
      </c>
      <c r="D239" s="5" t="s">
        <v>63</v>
      </c>
      <c r="E239" s="5" t="s">
        <v>151</v>
      </c>
      <c r="F239" s="5" t="s">
        <v>152</v>
      </c>
      <c r="G239" s="5" t="s">
        <v>180</v>
      </c>
      <c r="H239" s="5" t="s">
        <v>63</v>
      </c>
      <c r="I239" s="6" t="n">
        <v>5</v>
      </c>
      <c r="J239" s="6" t="n">
        <v>5</v>
      </c>
      <c r="K239" s="7" t="n">
        <f aca="false">IF(COUNT(I239:J239)=0,"",AVERAGE(I239:J239))</f>
        <v>5</v>
      </c>
      <c r="L239" s="5" t="s">
        <v>181</v>
      </c>
      <c r="M239" s="5"/>
      <c r="N239" s="8" t="s">
        <v>54</v>
      </c>
      <c r="O239" s="5" t="s">
        <v>224</v>
      </c>
    </row>
    <row r="240" customFormat="false" ht="15" hidden="false" customHeight="false" outlineLevel="0" collapsed="false">
      <c r="A240" s="5" t="s">
        <v>119</v>
      </c>
      <c r="B240" s="5" t="s">
        <v>120</v>
      </c>
      <c r="C240" s="5" t="s">
        <v>47</v>
      </c>
      <c r="D240" s="5" t="s">
        <v>48</v>
      </c>
      <c r="E240" s="5" t="s">
        <v>49</v>
      </c>
      <c r="F240" s="5" t="s">
        <v>121</v>
      </c>
      <c r="G240" s="5" t="s">
        <v>225</v>
      </c>
      <c r="H240" s="5" t="s">
        <v>63</v>
      </c>
      <c r="I240" s="6" t="n">
        <v>3</v>
      </c>
      <c r="J240" s="6" t="n">
        <v>3</v>
      </c>
      <c r="K240" s="7" t="n">
        <f aca="false">IF(COUNT(I240:J240)=0,"",AVERAGE(I240:J240))</f>
        <v>3</v>
      </c>
      <c r="L240" s="5" t="s">
        <v>226</v>
      </c>
      <c r="M240" s="5"/>
      <c r="N240" s="8" t="s">
        <v>54</v>
      </c>
      <c r="O240" s="5" t="s">
        <v>227</v>
      </c>
    </row>
    <row r="241" customFormat="false" ht="15" hidden="false" customHeight="false" outlineLevel="0" collapsed="false">
      <c r="A241" s="5" t="s">
        <v>119</v>
      </c>
      <c r="B241" s="5" t="s">
        <v>120</v>
      </c>
      <c r="C241" s="5" t="s">
        <v>131</v>
      </c>
      <c r="D241" s="5" t="s">
        <v>132</v>
      </c>
      <c r="E241" s="5" t="s">
        <v>49</v>
      </c>
      <c r="F241" s="5" t="s">
        <v>50</v>
      </c>
      <c r="G241" s="5" t="s">
        <v>225</v>
      </c>
      <c r="H241" s="5" t="s">
        <v>63</v>
      </c>
      <c r="I241" s="6" t="n">
        <v>4</v>
      </c>
      <c r="J241" s="6" t="n">
        <v>4</v>
      </c>
      <c r="K241" s="7" t="n">
        <f aca="false">IF(COUNT(I241:J241)=0,"",AVERAGE(I241:J241))</f>
        <v>4</v>
      </c>
      <c r="L241" s="5" t="s">
        <v>226</v>
      </c>
      <c r="M241" s="5"/>
      <c r="N241" s="8" t="s">
        <v>54</v>
      </c>
      <c r="O241" s="5" t="s">
        <v>228</v>
      </c>
    </row>
    <row r="242" customFormat="false" ht="15" hidden="false" customHeight="false" outlineLevel="0" collapsed="false">
      <c r="A242" s="5" t="s">
        <v>119</v>
      </c>
      <c r="B242" s="5" t="s">
        <v>120</v>
      </c>
      <c r="C242" s="5" t="s">
        <v>134</v>
      </c>
      <c r="D242" s="5" t="s">
        <v>135</v>
      </c>
      <c r="E242" s="5" t="s">
        <v>49</v>
      </c>
      <c r="F242" s="5" t="s">
        <v>50</v>
      </c>
      <c r="G242" s="5" t="s">
        <v>225</v>
      </c>
      <c r="H242" s="5" t="s">
        <v>63</v>
      </c>
      <c r="I242" s="6" t="n">
        <v>3</v>
      </c>
      <c r="J242" s="6" t="n">
        <v>3</v>
      </c>
      <c r="K242" s="7" t="n">
        <f aca="false">IF(COUNT(I242:J242)=0,"",AVERAGE(I242:J242))</f>
        <v>3</v>
      </c>
      <c r="L242" s="5" t="s">
        <v>226</v>
      </c>
      <c r="M242" s="5"/>
      <c r="N242" s="8" t="s">
        <v>54</v>
      </c>
      <c r="O242" s="5"/>
    </row>
    <row r="243" customFormat="false" ht="15" hidden="false" customHeight="false" outlineLevel="0" collapsed="false">
      <c r="A243" s="5" t="s">
        <v>119</v>
      </c>
      <c r="B243" s="5" t="s">
        <v>120</v>
      </c>
      <c r="C243" s="5" t="s">
        <v>137</v>
      </c>
      <c r="D243" s="5" t="s">
        <v>63</v>
      </c>
      <c r="E243" s="5" t="s">
        <v>49</v>
      </c>
      <c r="F243" s="5" t="s">
        <v>50</v>
      </c>
      <c r="G243" s="5" t="s">
        <v>225</v>
      </c>
      <c r="H243" s="5" t="s">
        <v>63</v>
      </c>
      <c r="I243" s="6" t="n">
        <v>5</v>
      </c>
      <c r="J243" s="6" t="n">
        <v>5</v>
      </c>
      <c r="K243" s="7" t="n">
        <f aca="false">IF(COUNT(I243:J243)=0,"",AVERAGE(I243:J243))</f>
        <v>5</v>
      </c>
      <c r="L243" s="5" t="s">
        <v>226</v>
      </c>
      <c r="M243" s="5"/>
      <c r="N243" s="8" t="s">
        <v>54</v>
      </c>
      <c r="O243" s="5" t="s">
        <v>229</v>
      </c>
    </row>
    <row r="244" customFormat="false" ht="15" hidden="false" customHeight="false" outlineLevel="0" collapsed="false">
      <c r="A244" s="5" t="s">
        <v>119</v>
      </c>
      <c r="B244" s="5" t="s">
        <v>120</v>
      </c>
      <c r="C244" s="5" t="s">
        <v>139</v>
      </c>
      <c r="D244" s="5" t="s">
        <v>140</v>
      </c>
      <c r="E244" s="5" t="s">
        <v>141</v>
      </c>
      <c r="F244" s="5" t="s">
        <v>142</v>
      </c>
      <c r="G244" s="5" t="s">
        <v>225</v>
      </c>
      <c r="H244" s="5" t="s">
        <v>63</v>
      </c>
      <c r="I244" s="6" t="n">
        <v>2</v>
      </c>
      <c r="J244" s="6" t="n">
        <v>2</v>
      </c>
      <c r="K244" s="7" t="n">
        <f aca="false">IF(COUNT(I244:J244)=0,"",AVERAGE(I244:J244))</f>
        <v>2</v>
      </c>
      <c r="L244" s="5" t="s">
        <v>226</v>
      </c>
      <c r="M244" s="5"/>
      <c r="N244" s="8" t="s">
        <v>54</v>
      </c>
      <c r="O244" s="5" t="s">
        <v>230</v>
      </c>
    </row>
    <row r="245" customFormat="false" ht="15" hidden="false" customHeight="false" outlineLevel="0" collapsed="false">
      <c r="A245" s="5" t="s">
        <v>119</v>
      </c>
      <c r="B245" s="5" t="s">
        <v>120</v>
      </c>
      <c r="C245" s="5" t="s">
        <v>144</v>
      </c>
      <c r="D245" s="5" t="s">
        <v>63</v>
      </c>
      <c r="E245" s="5" t="s">
        <v>145</v>
      </c>
      <c r="F245" s="5" t="s">
        <v>146</v>
      </c>
      <c r="G245" s="5" t="s">
        <v>225</v>
      </c>
      <c r="H245" s="5" t="s">
        <v>63</v>
      </c>
      <c r="I245" s="6" t="n">
        <v>1</v>
      </c>
      <c r="J245" s="6" t="n">
        <v>1</v>
      </c>
      <c r="K245" s="7" t="n">
        <f aca="false">IF(COUNT(I245:J245)=0,"",AVERAGE(I245:J245))</f>
        <v>1</v>
      </c>
      <c r="L245" s="5" t="s">
        <v>226</v>
      </c>
      <c r="M245" s="5"/>
      <c r="N245" s="8" t="s">
        <v>54</v>
      </c>
      <c r="O245" s="5" t="s">
        <v>231</v>
      </c>
    </row>
    <row r="246" customFormat="false" ht="15" hidden="false" customHeight="false" outlineLevel="0" collapsed="false">
      <c r="A246" s="5" t="s">
        <v>119</v>
      </c>
      <c r="B246" s="5" t="s">
        <v>120</v>
      </c>
      <c r="C246" s="5" t="s">
        <v>150</v>
      </c>
      <c r="D246" s="5" t="s">
        <v>63</v>
      </c>
      <c r="E246" s="5" t="s">
        <v>151</v>
      </c>
      <c r="F246" s="5" t="s">
        <v>152</v>
      </c>
      <c r="G246" s="5" t="s">
        <v>225</v>
      </c>
      <c r="H246" s="5" t="s">
        <v>63</v>
      </c>
      <c r="I246" s="6" t="n">
        <v>1</v>
      </c>
      <c r="J246" s="6" t="n">
        <v>1</v>
      </c>
      <c r="K246" s="7" t="n">
        <f aca="false">IF(COUNT(I246:J246)=0,"",AVERAGE(I246:J246))</f>
        <v>1</v>
      </c>
      <c r="L246" s="5" t="s">
        <v>226</v>
      </c>
      <c r="M246" s="5"/>
      <c r="N246" s="8" t="s">
        <v>54</v>
      </c>
      <c r="O246" s="5" t="s">
        <v>232</v>
      </c>
    </row>
    <row r="247" customFormat="false" ht="15" hidden="false" customHeight="false" outlineLevel="0" collapsed="false">
      <c r="A247" s="5" t="s">
        <v>119</v>
      </c>
      <c r="B247" s="5" t="s">
        <v>120</v>
      </c>
      <c r="C247" s="5" t="s">
        <v>47</v>
      </c>
      <c r="D247" s="5" t="s">
        <v>48</v>
      </c>
      <c r="E247" s="5" t="s">
        <v>49</v>
      </c>
      <c r="F247" s="5" t="s">
        <v>121</v>
      </c>
      <c r="G247" s="5" t="s">
        <v>205</v>
      </c>
      <c r="H247" s="5" t="s">
        <v>63</v>
      </c>
      <c r="I247" s="6" t="n">
        <v>4</v>
      </c>
      <c r="J247" s="6" t="n">
        <v>4</v>
      </c>
      <c r="K247" s="7" t="n">
        <f aca="false">IF(COUNT(I247:J247)=0,"",AVERAGE(I247:J247))</f>
        <v>4</v>
      </c>
      <c r="L247" s="5" t="s">
        <v>206</v>
      </c>
      <c r="M247" s="5"/>
      <c r="N247" s="8" t="s">
        <v>54</v>
      </c>
      <c r="O247" s="5" t="s">
        <v>233</v>
      </c>
    </row>
    <row r="248" customFormat="false" ht="15" hidden="false" customHeight="false" outlineLevel="0" collapsed="false">
      <c r="A248" s="5" t="s">
        <v>119</v>
      </c>
      <c r="B248" s="5" t="s">
        <v>120</v>
      </c>
      <c r="C248" s="5" t="s">
        <v>131</v>
      </c>
      <c r="D248" s="5" t="s">
        <v>132</v>
      </c>
      <c r="E248" s="5" t="s">
        <v>49</v>
      </c>
      <c r="F248" s="5" t="s">
        <v>50</v>
      </c>
      <c r="G248" s="5" t="s">
        <v>205</v>
      </c>
      <c r="H248" s="5" t="s">
        <v>63</v>
      </c>
      <c r="I248" s="6" t="n">
        <v>4</v>
      </c>
      <c r="J248" s="6" t="n">
        <v>4</v>
      </c>
      <c r="K248" s="7" t="n">
        <f aca="false">IF(COUNT(I248:J248)=0,"",AVERAGE(I248:J248))</f>
        <v>4</v>
      </c>
      <c r="L248" s="5" t="s">
        <v>206</v>
      </c>
      <c r="M248" s="5"/>
      <c r="N248" s="8" t="s">
        <v>54</v>
      </c>
      <c r="O248" s="5" t="s">
        <v>202</v>
      </c>
    </row>
    <row r="249" customFormat="false" ht="15" hidden="false" customHeight="false" outlineLevel="0" collapsed="false">
      <c r="A249" s="5" t="s">
        <v>119</v>
      </c>
      <c r="B249" s="5" t="s">
        <v>120</v>
      </c>
      <c r="C249" s="5" t="s">
        <v>134</v>
      </c>
      <c r="D249" s="5" t="s">
        <v>135</v>
      </c>
      <c r="E249" s="5" t="s">
        <v>49</v>
      </c>
      <c r="F249" s="5" t="s">
        <v>50</v>
      </c>
      <c r="G249" s="5" t="s">
        <v>205</v>
      </c>
      <c r="H249" s="5" t="s">
        <v>63</v>
      </c>
      <c r="I249" s="6" t="n">
        <v>4</v>
      </c>
      <c r="J249" s="6" t="n">
        <v>4</v>
      </c>
      <c r="K249" s="7" t="n">
        <f aca="false">IF(COUNT(I249:J249)=0,"",AVERAGE(I249:J249))</f>
        <v>4</v>
      </c>
      <c r="L249" s="5" t="s">
        <v>206</v>
      </c>
      <c r="M249" s="5"/>
      <c r="N249" s="8" t="s">
        <v>54</v>
      </c>
      <c r="O249" s="5" t="s">
        <v>202</v>
      </c>
    </row>
    <row r="250" customFormat="false" ht="15" hidden="false" customHeight="false" outlineLevel="0" collapsed="false">
      <c r="A250" s="5" t="s">
        <v>119</v>
      </c>
      <c r="B250" s="5" t="s">
        <v>120</v>
      </c>
      <c r="C250" s="5" t="s">
        <v>137</v>
      </c>
      <c r="D250" s="5" t="s">
        <v>63</v>
      </c>
      <c r="E250" s="5" t="s">
        <v>49</v>
      </c>
      <c r="F250" s="5" t="s">
        <v>50</v>
      </c>
      <c r="G250" s="5" t="s">
        <v>205</v>
      </c>
      <c r="H250" s="5" t="s">
        <v>63</v>
      </c>
      <c r="I250" s="6" t="n">
        <v>4</v>
      </c>
      <c r="J250" s="6" t="n">
        <v>4</v>
      </c>
      <c r="K250" s="7" t="n">
        <f aca="false">IF(COUNT(I250:J250)=0,"",AVERAGE(I250:J250))</f>
        <v>4</v>
      </c>
      <c r="L250" s="5" t="s">
        <v>206</v>
      </c>
      <c r="M250" s="5"/>
      <c r="N250" s="8" t="s">
        <v>54</v>
      </c>
      <c r="O250" s="5" t="s">
        <v>202</v>
      </c>
    </row>
    <row r="251" customFormat="false" ht="15" hidden="false" customHeight="false" outlineLevel="0" collapsed="false">
      <c r="A251" s="5" t="s">
        <v>119</v>
      </c>
      <c r="B251" s="5" t="s">
        <v>120</v>
      </c>
      <c r="C251" s="5" t="s">
        <v>139</v>
      </c>
      <c r="D251" s="5" t="s">
        <v>140</v>
      </c>
      <c r="E251" s="5" t="s">
        <v>141</v>
      </c>
      <c r="F251" s="5" t="s">
        <v>142</v>
      </c>
      <c r="G251" s="5" t="s">
        <v>205</v>
      </c>
      <c r="H251" s="5" t="s">
        <v>63</v>
      </c>
      <c r="I251" s="6" t="n">
        <v>5</v>
      </c>
      <c r="J251" s="6" t="n">
        <v>5</v>
      </c>
      <c r="K251" s="7" t="n">
        <f aca="false">IF(COUNT(I251:J251)=0,"",AVERAGE(I251:J251))</f>
        <v>5</v>
      </c>
      <c r="L251" s="5" t="s">
        <v>206</v>
      </c>
      <c r="M251" s="5"/>
      <c r="N251" s="8" t="s">
        <v>54</v>
      </c>
      <c r="O251" s="5" t="s">
        <v>234</v>
      </c>
    </row>
    <row r="252" customFormat="false" ht="15" hidden="false" customHeight="false" outlineLevel="0" collapsed="false">
      <c r="A252" s="5" t="s">
        <v>119</v>
      </c>
      <c r="B252" s="5" t="s">
        <v>120</v>
      </c>
      <c r="C252" s="5" t="s">
        <v>144</v>
      </c>
      <c r="D252" s="5" t="s">
        <v>63</v>
      </c>
      <c r="E252" s="5" t="s">
        <v>145</v>
      </c>
      <c r="F252" s="5" t="s">
        <v>146</v>
      </c>
      <c r="G252" s="5" t="s">
        <v>205</v>
      </c>
      <c r="H252" s="5" t="s">
        <v>63</v>
      </c>
      <c r="I252" s="6" t="n">
        <v>4</v>
      </c>
      <c r="J252" s="6" t="n">
        <v>4</v>
      </c>
      <c r="K252" s="7" t="n">
        <f aca="false">IF(COUNT(I252:J252)=0,"",AVERAGE(I252:J252))</f>
        <v>4</v>
      </c>
      <c r="L252" s="5" t="s">
        <v>206</v>
      </c>
      <c r="M252" s="5"/>
      <c r="N252" s="8" t="s">
        <v>54</v>
      </c>
      <c r="O252" s="5" t="s">
        <v>235</v>
      </c>
    </row>
    <row r="253" customFormat="false" ht="15" hidden="false" customHeight="false" outlineLevel="0" collapsed="false">
      <c r="A253" s="5" t="s">
        <v>119</v>
      </c>
      <c r="B253" s="5" t="s">
        <v>120</v>
      </c>
      <c r="C253" s="5" t="s">
        <v>150</v>
      </c>
      <c r="D253" s="5" t="s">
        <v>63</v>
      </c>
      <c r="E253" s="5" t="s">
        <v>151</v>
      </c>
      <c r="F253" s="5" t="s">
        <v>152</v>
      </c>
      <c r="G253" s="5" t="s">
        <v>205</v>
      </c>
      <c r="H253" s="5" t="s">
        <v>63</v>
      </c>
      <c r="I253" s="6" t="n">
        <v>3</v>
      </c>
      <c r="J253" s="6" t="n">
        <v>3</v>
      </c>
      <c r="K253" s="7" t="n">
        <f aca="false">IF(COUNT(I253:J253)=0,"",AVERAGE(I253:J253))</f>
        <v>3</v>
      </c>
      <c r="L253" s="5" t="s">
        <v>206</v>
      </c>
      <c r="M253" s="5"/>
      <c r="N253" s="8" t="s">
        <v>54</v>
      </c>
      <c r="O253" s="5" t="s">
        <v>236</v>
      </c>
    </row>
    <row r="254" customFormat="false" ht="15" hidden="false" customHeight="false" outlineLevel="0" collapsed="false">
      <c r="A254" s="5" t="s">
        <v>119</v>
      </c>
      <c r="B254" s="5" t="s">
        <v>120</v>
      </c>
      <c r="C254" s="5" t="s">
        <v>47</v>
      </c>
      <c r="D254" s="5" t="s">
        <v>48</v>
      </c>
      <c r="E254" s="5" t="s">
        <v>49</v>
      </c>
      <c r="F254" s="5" t="s">
        <v>121</v>
      </c>
      <c r="G254" s="5" t="s">
        <v>188</v>
      </c>
      <c r="H254" s="5" t="s">
        <v>63</v>
      </c>
      <c r="I254" s="6" t="n">
        <v>1</v>
      </c>
      <c r="J254" s="6" t="n">
        <v>1</v>
      </c>
      <c r="K254" s="7" t="n">
        <f aca="false">IF(COUNT(I254:J254)=0,"",AVERAGE(I254:J254))</f>
        <v>1</v>
      </c>
      <c r="L254" s="5" t="s">
        <v>189</v>
      </c>
      <c r="M254" s="5"/>
      <c r="N254" s="8" t="s">
        <v>54</v>
      </c>
      <c r="O254" s="5" t="s">
        <v>237</v>
      </c>
    </row>
    <row r="255" customFormat="false" ht="15" hidden="false" customHeight="false" outlineLevel="0" collapsed="false">
      <c r="A255" s="5" t="s">
        <v>119</v>
      </c>
      <c r="B255" s="5" t="s">
        <v>120</v>
      </c>
      <c r="C255" s="5" t="s">
        <v>131</v>
      </c>
      <c r="D255" s="5" t="s">
        <v>132</v>
      </c>
      <c r="E255" s="5" t="s">
        <v>49</v>
      </c>
      <c r="F255" s="5" t="s">
        <v>50</v>
      </c>
      <c r="G255" s="5" t="s">
        <v>188</v>
      </c>
      <c r="H255" s="5" t="s">
        <v>63</v>
      </c>
      <c r="I255" s="6" t="n">
        <v>3</v>
      </c>
      <c r="J255" s="6" t="n">
        <v>3</v>
      </c>
      <c r="K255" s="7" t="n">
        <f aca="false">IF(COUNT(I255:J255)=0,"",AVERAGE(I255:J255))</f>
        <v>3</v>
      </c>
      <c r="L255" s="5" t="s">
        <v>189</v>
      </c>
      <c r="M255" s="5"/>
      <c r="N255" s="8" t="s">
        <v>54</v>
      </c>
      <c r="O255" s="5"/>
    </row>
    <row r="256" customFormat="false" ht="15" hidden="false" customHeight="false" outlineLevel="0" collapsed="false">
      <c r="A256" s="5" t="s">
        <v>119</v>
      </c>
      <c r="B256" s="5" t="s">
        <v>120</v>
      </c>
      <c r="C256" s="5" t="s">
        <v>134</v>
      </c>
      <c r="D256" s="5" t="s">
        <v>135</v>
      </c>
      <c r="E256" s="5" t="s">
        <v>49</v>
      </c>
      <c r="F256" s="5" t="s">
        <v>50</v>
      </c>
      <c r="G256" s="5" t="s">
        <v>188</v>
      </c>
      <c r="H256" s="5" t="s">
        <v>63</v>
      </c>
      <c r="I256" s="6" t="n">
        <v>3</v>
      </c>
      <c r="J256" s="6" t="n">
        <v>3</v>
      </c>
      <c r="K256" s="7" t="n">
        <f aca="false">IF(COUNT(I256:J256)=0,"",AVERAGE(I256:J256))</f>
        <v>3</v>
      </c>
      <c r="L256" s="5" t="s">
        <v>189</v>
      </c>
      <c r="M256" s="5"/>
      <c r="N256" s="8" t="s">
        <v>54</v>
      </c>
      <c r="O256" s="5"/>
    </row>
    <row r="257" customFormat="false" ht="15" hidden="false" customHeight="false" outlineLevel="0" collapsed="false">
      <c r="A257" s="5" t="s">
        <v>119</v>
      </c>
      <c r="B257" s="5" t="s">
        <v>120</v>
      </c>
      <c r="C257" s="5" t="s">
        <v>137</v>
      </c>
      <c r="D257" s="5" t="s">
        <v>63</v>
      </c>
      <c r="E257" s="5" t="s">
        <v>49</v>
      </c>
      <c r="F257" s="5" t="s">
        <v>50</v>
      </c>
      <c r="G257" s="5" t="s">
        <v>188</v>
      </c>
      <c r="H257" s="5" t="s">
        <v>63</v>
      </c>
      <c r="I257" s="6" t="n">
        <v>4</v>
      </c>
      <c r="J257" s="6" t="n">
        <v>4</v>
      </c>
      <c r="K257" s="7" t="n">
        <f aca="false">IF(COUNT(I257:J257)=0,"",AVERAGE(I257:J257))</f>
        <v>4</v>
      </c>
      <c r="L257" s="5" t="s">
        <v>189</v>
      </c>
      <c r="M257" s="5"/>
      <c r="N257" s="8" t="s">
        <v>54</v>
      </c>
      <c r="O257" s="5"/>
    </row>
    <row r="258" customFormat="false" ht="15" hidden="false" customHeight="false" outlineLevel="0" collapsed="false">
      <c r="A258" s="5" t="s">
        <v>119</v>
      </c>
      <c r="B258" s="5" t="s">
        <v>120</v>
      </c>
      <c r="C258" s="5" t="s">
        <v>139</v>
      </c>
      <c r="D258" s="5" t="s">
        <v>140</v>
      </c>
      <c r="E258" s="5" t="s">
        <v>141</v>
      </c>
      <c r="F258" s="5" t="s">
        <v>142</v>
      </c>
      <c r="G258" s="5" t="s">
        <v>188</v>
      </c>
      <c r="H258" s="5" t="s">
        <v>63</v>
      </c>
      <c r="I258" s="6" t="n">
        <v>4</v>
      </c>
      <c r="J258" s="6" t="n">
        <v>4</v>
      </c>
      <c r="K258" s="7" t="n">
        <f aca="false">IF(COUNT(I258:J258)=0,"",AVERAGE(I258:J258))</f>
        <v>4</v>
      </c>
      <c r="L258" s="5" t="s">
        <v>189</v>
      </c>
      <c r="M258" s="5"/>
      <c r="N258" s="8" t="s">
        <v>54</v>
      </c>
      <c r="O258" s="5"/>
    </row>
    <row r="259" customFormat="false" ht="15" hidden="false" customHeight="false" outlineLevel="0" collapsed="false">
      <c r="A259" s="5" t="s">
        <v>119</v>
      </c>
      <c r="B259" s="5" t="s">
        <v>120</v>
      </c>
      <c r="C259" s="5" t="s">
        <v>144</v>
      </c>
      <c r="D259" s="5" t="s">
        <v>63</v>
      </c>
      <c r="E259" s="5" t="s">
        <v>145</v>
      </c>
      <c r="F259" s="5" t="s">
        <v>146</v>
      </c>
      <c r="G259" s="5" t="s">
        <v>188</v>
      </c>
      <c r="H259" s="5" t="s">
        <v>63</v>
      </c>
      <c r="I259" s="6" t="n">
        <v>5</v>
      </c>
      <c r="J259" s="6" t="n">
        <v>5</v>
      </c>
      <c r="K259" s="7" t="n">
        <f aca="false">IF(COUNT(I259:J259)=0,"",AVERAGE(I259:J259))</f>
        <v>5</v>
      </c>
      <c r="L259" s="5" t="s">
        <v>189</v>
      </c>
      <c r="M259" s="5"/>
      <c r="N259" s="8" t="s">
        <v>54</v>
      </c>
      <c r="O259" s="5" t="s">
        <v>238</v>
      </c>
    </row>
    <row r="260" customFormat="false" ht="15" hidden="false" customHeight="false" outlineLevel="0" collapsed="false">
      <c r="A260" s="5" t="s">
        <v>119</v>
      </c>
      <c r="B260" s="5" t="s">
        <v>120</v>
      </c>
      <c r="C260" s="5" t="s">
        <v>150</v>
      </c>
      <c r="D260" s="5" t="s">
        <v>63</v>
      </c>
      <c r="E260" s="5" t="s">
        <v>151</v>
      </c>
      <c r="F260" s="5" t="s">
        <v>152</v>
      </c>
      <c r="G260" s="5" t="s">
        <v>188</v>
      </c>
      <c r="H260" s="5" t="s">
        <v>63</v>
      </c>
      <c r="I260" s="6" t="n">
        <v>5</v>
      </c>
      <c r="J260" s="6" t="n">
        <v>5</v>
      </c>
      <c r="K260" s="7" t="n">
        <f aca="false">IF(COUNT(I260:J260)=0,"",AVERAGE(I260:J260))</f>
        <v>5</v>
      </c>
      <c r="L260" s="5" t="s">
        <v>189</v>
      </c>
      <c r="M260" s="5"/>
      <c r="N260" s="8" t="s">
        <v>54</v>
      </c>
      <c r="O260" s="5" t="s">
        <v>238</v>
      </c>
    </row>
    <row r="261" customFormat="false" ht="15" hidden="false" customHeight="false" outlineLevel="0" collapsed="false">
      <c r="A261" s="5" t="s">
        <v>119</v>
      </c>
      <c r="B261" s="5" t="s">
        <v>120</v>
      </c>
      <c r="C261" s="5" t="s">
        <v>47</v>
      </c>
      <c r="D261" s="5" t="s">
        <v>48</v>
      </c>
      <c r="E261" s="5" t="s">
        <v>49</v>
      </c>
      <c r="F261" s="5" t="s">
        <v>121</v>
      </c>
      <c r="G261" s="5" t="s">
        <v>192</v>
      </c>
      <c r="H261" s="5" t="s">
        <v>63</v>
      </c>
      <c r="I261" s="6" t="n">
        <v>5</v>
      </c>
      <c r="J261" s="6" t="n">
        <v>5</v>
      </c>
      <c r="K261" s="7" t="n">
        <f aca="false">IF(COUNT(I261:J261)=0,"",AVERAGE(I261:J261))</f>
        <v>5</v>
      </c>
      <c r="L261" s="5" t="s">
        <v>193</v>
      </c>
      <c r="M261" s="5"/>
      <c r="N261" s="8" t="s">
        <v>54</v>
      </c>
      <c r="O261" s="5" t="s">
        <v>239</v>
      </c>
    </row>
    <row r="262" customFormat="false" ht="15" hidden="false" customHeight="false" outlineLevel="0" collapsed="false">
      <c r="A262" s="5" t="s">
        <v>119</v>
      </c>
      <c r="B262" s="5" t="s">
        <v>120</v>
      </c>
      <c r="C262" s="5" t="s">
        <v>131</v>
      </c>
      <c r="D262" s="5" t="s">
        <v>132</v>
      </c>
      <c r="E262" s="5" t="s">
        <v>49</v>
      </c>
      <c r="F262" s="5" t="s">
        <v>50</v>
      </c>
      <c r="G262" s="5" t="s">
        <v>192</v>
      </c>
      <c r="H262" s="5" t="s">
        <v>63</v>
      </c>
      <c r="I262" s="6" t="n">
        <v>5</v>
      </c>
      <c r="J262" s="6" t="n">
        <v>5</v>
      </c>
      <c r="K262" s="7" t="n">
        <f aca="false">IF(COUNT(I262:J262)=0,"",AVERAGE(I262:J262))</f>
        <v>5</v>
      </c>
      <c r="L262" s="5" t="s">
        <v>193</v>
      </c>
      <c r="M262" s="5"/>
      <c r="N262" s="8" t="s">
        <v>54</v>
      </c>
      <c r="O262" s="5"/>
    </row>
    <row r="263" customFormat="false" ht="15" hidden="false" customHeight="false" outlineLevel="0" collapsed="false">
      <c r="A263" s="5" t="s">
        <v>119</v>
      </c>
      <c r="B263" s="5" t="s">
        <v>120</v>
      </c>
      <c r="C263" s="5" t="s">
        <v>134</v>
      </c>
      <c r="D263" s="5" t="s">
        <v>135</v>
      </c>
      <c r="E263" s="5" t="s">
        <v>49</v>
      </c>
      <c r="F263" s="5" t="s">
        <v>50</v>
      </c>
      <c r="G263" s="5" t="s">
        <v>192</v>
      </c>
      <c r="H263" s="5" t="s">
        <v>63</v>
      </c>
      <c r="I263" s="6" t="n">
        <v>5</v>
      </c>
      <c r="J263" s="6" t="n">
        <v>5</v>
      </c>
      <c r="K263" s="7" t="n">
        <f aca="false">IF(COUNT(I263:J263)=0,"",AVERAGE(I263:J263))</f>
        <v>5</v>
      </c>
      <c r="L263" s="5" t="s">
        <v>193</v>
      </c>
      <c r="M263" s="5"/>
      <c r="N263" s="8" t="s">
        <v>54</v>
      </c>
      <c r="O263" s="5"/>
    </row>
    <row r="264" customFormat="false" ht="15" hidden="false" customHeight="false" outlineLevel="0" collapsed="false">
      <c r="A264" s="5" t="s">
        <v>119</v>
      </c>
      <c r="B264" s="5" t="s">
        <v>120</v>
      </c>
      <c r="C264" s="5" t="s">
        <v>137</v>
      </c>
      <c r="D264" s="5" t="s">
        <v>63</v>
      </c>
      <c r="E264" s="5" t="s">
        <v>49</v>
      </c>
      <c r="F264" s="5" t="s">
        <v>50</v>
      </c>
      <c r="G264" s="5" t="s">
        <v>192</v>
      </c>
      <c r="H264" s="5" t="s">
        <v>63</v>
      </c>
      <c r="I264" s="6" t="n">
        <v>4</v>
      </c>
      <c r="J264" s="6" t="n">
        <v>4</v>
      </c>
      <c r="K264" s="7" t="n">
        <f aca="false">IF(COUNT(I264:J264)=0,"",AVERAGE(I264:J264))</f>
        <v>4</v>
      </c>
      <c r="L264" s="5" t="s">
        <v>193</v>
      </c>
      <c r="M264" s="5"/>
      <c r="N264" s="8" t="s">
        <v>54</v>
      </c>
      <c r="O264" s="5"/>
    </row>
    <row r="265" customFormat="false" ht="15" hidden="false" customHeight="false" outlineLevel="0" collapsed="false">
      <c r="A265" s="5" t="s">
        <v>119</v>
      </c>
      <c r="B265" s="5" t="s">
        <v>120</v>
      </c>
      <c r="C265" s="5" t="s">
        <v>139</v>
      </c>
      <c r="D265" s="5" t="s">
        <v>140</v>
      </c>
      <c r="E265" s="5" t="s">
        <v>141</v>
      </c>
      <c r="F265" s="5" t="s">
        <v>142</v>
      </c>
      <c r="G265" s="5" t="s">
        <v>192</v>
      </c>
      <c r="H265" s="5" t="s">
        <v>63</v>
      </c>
      <c r="I265" s="6" t="n">
        <v>3</v>
      </c>
      <c r="J265" s="6" t="n">
        <v>3</v>
      </c>
      <c r="K265" s="7" t="n">
        <f aca="false">IF(COUNT(I265:J265)=0,"",AVERAGE(I265:J265))</f>
        <v>3</v>
      </c>
      <c r="L265" s="5" t="s">
        <v>193</v>
      </c>
      <c r="M265" s="5"/>
      <c r="N265" s="8" t="s">
        <v>54</v>
      </c>
      <c r="O265" s="5" t="s">
        <v>240</v>
      </c>
    </row>
    <row r="266" customFormat="false" ht="15" hidden="false" customHeight="false" outlineLevel="0" collapsed="false">
      <c r="A266" s="5" t="s">
        <v>119</v>
      </c>
      <c r="B266" s="5" t="s">
        <v>120</v>
      </c>
      <c r="C266" s="5" t="s">
        <v>144</v>
      </c>
      <c r="D266" s="5" t="s">
        <v>63</v>
      </c>
      <c r="E266" s="5" t="s">
        <v>145</v>
      </c>
      <c r="F266" s="5" t="s">
        <v>146</v>
      </c>
      <c r="G266" s="5" t="s">
        <v>192</v>
      </c>
      <c r="H266" s="5" t="s">
        <v>63</v>
      </c>
      <c r="I266" s="6" t="n">
        <v>3</v>
      </c>
      <c r="J266" s="6" t="n">
        <v>3</v>
      </c>
      <c r="K266" s="7" t="n">
        <f aca="false">IF(COUNT(I266:J266)=0,"",AVERAGE(I266:J266))</f>
        <v>3</v>
      </c>
      <c r="L266" s="5" t="s">
        <v>193</v>
      </c>
      <c r="M266" s="5"/>
      <c r="N266" s="8" t="s">
        <v>54</v>
      </c>
      <c r="O266" s="5" t="s">
        <v>241</v>
      </c>
    </row>
    <row r="267" customFormat="false" ht="15" hidden="false" customHeight="false" outlineLevel="0" collapsed="false">
      <c r="A267" s="5" t="s">
        <v>119</v>
      </c>
      <c r="B267" s="5" t="s">
        <v>120</v>
      </c>
      <c r="C267" s="5" t="s">
        <v>150</v>
      </c>
      <c r="D267" s="5" t="s">
        <v>63</v>
      </c>
      <c r="E267" s="5" t="s">
        <v>151</v>
      </c>
      <c r="F267" s="5" t="s">
        <v>152</v>
      </c>
      <c r="G267" s="5" t="s">
        <v>192</v>
      </c>
      <c r="H267" s="5" t="s">
        <v>63</v>
      </c>
      <c r="I267" s="6" t="n">
        <v>3</v>
      </c>
      <c r="J267" s="6" t="n">
        <v>3</v>
      </c>
      <c r="K267" s="7" t="n">
        <f aca="false">IF(COUNT(I267:J267)=0,"",AVERAGE(I267:J267))</f>
        <v>3</v>
      </c>
      <c r="L267" s="5" t="s">
        <v>193</v>
      </c>
      <c r="M267" s="5"/>
      <c r="N267" s="8" t="s">
        <v>54</v>
      </c>
      <c r="O267" s="5" t="s">
        <v>242</v>
      </c>
    </row>
    <row r="268" customFormat="false" ht="15" hidden="false" customHeight="false" outlineLevel="0" collapsed="false">
      <c r="A268" s="5" t="s">
        <v>155</v>
      </c>
      <c r="B268" s="5" t="s">
        <v>156</v>
      </c>
      <c r="C268" s="5" t="s">
        <v>157</v>
      </c>
      <c r="D268" s="5" t="s">
        <v>63</v>
      </c>
      <c r="E268" s="5" t="s">
        <v>117</v>
      </c>
      <c r="F268" s="5" t="s">
        <v>158</v>
      </c>
      <c r="G268" s="5" t="s">
        <v>205</v>
      </c>
      <c r="H268" s="5" t="s">
        <v>63</v>
      </c>
      <c r="I268" s="6" t="n">
        <v>3</v>
      </c>
      <c r="J268" s="6" t="n">
        <v>3</v>
      </c>
      <c r="K268" s="7" t="n">
        <f aca="false">IF(COUNT(I268:J268)=0,"",AVERAGE(I268:J268))</f>
        <v>3</v>
      </c>
      <c r="L268" s="5" t="s">
        <v>206</v>
      </c>
      <c r="M268" s="5"/>
      <c r="N268" s="8" t="s">
        <v>54</v>
      </c>
      <c r="O268" s="5" t="s">
        <v>243</v>
      </c>
    </row>
    <row r="269" customFormat="false" ht="15" hidden="false" customHeight="false" outlineLevel="0" collapsed="false">
      <c r="A269" s="5" t="s">
        <v>155</v>
      </c>
      <c r="B269" s="5" t="s">
        <v>156</v>
      </c>
      <c r="C269" s="5" t="s">
        <v>168</v>
      </c>
      <c r="D269" s="5" t="s">
        <v>63</v>
      </c>
      <c r="E269" s="5" t="s">
        <v>117</v>
      </c>
      <c r="F269" s="5" t="s">
        <v>158</v>
      </c>
      <c r="G269" s="5" t="s">
        <v>205</v>
      </c>
      <c r="H269" s="5" t="s">
        <v>63</v>
      </c>
      <c r="I269" s="6" t="n">
        <v>3</v>
      </c>
      <c r="J269" s="6" t="n">
        <v>3</v>
      </c>
      <c r="K269" s="7" t="n">
        <f aca="false">IF(COUNT(I269:J269)=0,"",AVERAGE(I269:J269))</f>
        <v>3</v>
      </c>
      <c r="L269" s="5" t="s">
        <v>206</v>
      </c>
      <c r="M269" s="5"/>
      <c r="N269" s="8" t="s">
        <v>54</v>
      </c>
      <c r="O269" s="5" t="s">
        <v>244</v>
      </c>
    </row>
    <row r="270" customFormat="false" ht="15" hidden="false" customHeight="false" outlineLevel="0" collapsed="false">
      <c r="A270" s="5" t="s">
        <v>155</v>
      </c>
      <c r="B270" s="5" t="s">
        <v>156</v>
      </c>
      <c r="C270" s="5" t="s">
        <v>170</v>
      </c>
      <c r="D270" s="5" t="s">
        <v>63</v>
      </c>
      <c r="E270" s="5" t="s">
        <v>117</v>
      </c>
      <c r="F270" s="5" t="s">
        <v>158</v>
      </c>
      <c r="G270" s="5" t="s">
        <v>205</v>
      </c>
      <c r="H270" s="5" t="s">
        <v>63</v>
      </c>
      <c r="I270" s="6" t="n">
        <v>2</v>
      </c>
      <c r="J270" s="6" t="n">
        <v>2</v>
      </c>
      <c r="K270" s="7" t="n">
        <f aca="false">IF(COUNT(I270:J270)=0,"",AVERAGE(I270:J270))</f>
        <v>2</v>
      </c>
      <c r="L270" s="5" t="s">
        <v>206</v>
      </c>
      <c r="M270" s="5"/>
      <c r="N270" s="8" t="s">
        <v>54</v>
      </c>
      <c r="O270" s="5" t="s">
        <v>245</v>
      </c>
    </row>
    <row r="271" customFormat="false" ht="15" hidden="false" customHeight="false" outlineLevel="0" collapsed="false">
      <c r="A271" s="5" t="s">
        <v>155</v>
      </c>
      <c r="B271" s="5" t="s">
        <v>156</v>
      </c>
      <c r="C271" s="5" t="s">
        <v>171</v>
      </c>
      <c r="D271" s="5" t="s">
        <v>63</v>
      </c>
      <c r="E271" s="5" t="s">
        <v>112</v>
      </c>
      <c r="F271" s="5" t="s">
        <v>158</v>
      </c>
      <c r="G271" s="5" t="s">
        <v>205</v>
      </c>
      <c r="H271" s="5" t="s">
        <v>63</v>
      </c>
      <c r="I271" s="6" t="n">
        <v>5</v>
      </c>
      <c r="J271" s="6" t="n">
        <v>5</v>
      </c>
      <c r="K271" s="7" t="n">
        <f aca="false">IF(COUNT(I271:J271)=0,"",AVERAGE(I271:J271))</f>
        <v>5</v>
      </c>
      <c r="L271" s="5" t="s">
        <v>206</v>
      </c>
      <c r="M271" s="5"/>
      <c r="N271" s="8" t="s">
        <v>54</v>
      </c>
      <c r="O271" s="5" t="s">
        <v>246</v>
      </c>
    </row>
    <row r="272" customFormat="false" ht="15" hidden="false" customHeight="false" outlineLevel="0" collapsed="false">
      <c r="A272" s="5" t="s">
        <v>155</v>
      </c>
      <c r="B272" s="5" t="s">
        <v>156</v>
      </c>
      <c r="C272" s="5" t="s">
        <v>172</v>
      </c>
      <c r="D272" s="5" t="s">
        <v>63</v>
      </c>
      <c r="E272" s="5" t="s">
        <v>112</v>
      </c>
      <c r="F272" s="5" t="s">
        <v>158</v>
      </c>
      <c r="G272" s="5" t="s">
        <v>205</v>
      </c>
      <c r="H272" s="5" t="s">
        <v>63</v>
      </c>
      <c r="I272" s="6" t="n">
        <v>5</v>
      </c>
      <c r="J272" s="6" t="n">
        <v>5</v>
      </c>
      <c r="K272" s="7" t="n">
        <f aca="false">IF(COUNT(I272:J272)=0,"",AVERAGE(I272:J272))</f>
        <v>5</v>
      </c>
      <c r="L272" s="5" t="s">
        <v>206</v>
      </c>
      <c r="M272" s="5"/>
      <c r="N272" s="8" t="s">
        <v>54</v>
      </c>
      <c r="O272" s="5"/>
    </row>
    <row r="273" customFormat="false" ht="15" hidden="false" customHeight="false" outlineLevel="0" collapsed="false">
      <c r="A273" s="5" t="s">
        <v>155</v>
      </c>
      <c r="B273" s="5" t="s">
        <v>156</v>
      </c>
      <c r="C273" s="5" t="s">
        <v>173</v>
      </c>
      <c r="D273" s="5" t="s">
        <v>63</v>
      </c>
      <c r="E273" s="5" t="s">
        <v>174</v>
      </c>
      <c r="F273" s="5" t="s">
        <v>158</v>
      </c>
      <c r="G273" s="5" t="s">
        <v>205</v>
      </c>
      <c r="H273" s="5" t="s">
        <v>63</v>
      </c>
      <c r="I273" s="6" t="n">
        <v>5</v>
      </c>
      <c r="J273" s="6" t="n">
        <v>5</v>
      </c>
      <c r="K273" s="7" t="n">
        <f aca="false">IF(COUNT(I273:J273)=0,"",AVERAGE(I273:J273))</f>
        <v>5</v>
      </c>
      <c r="L273" s="5" t="s">
        <v>206</v>
      </c>
      <c r="M273" s="5"/>
      <c r="N273" s="8" t="s">
        <v>54</v>
      </c>
      <c r="O273" s="5"/>
    </row>
    <row r="274" customFormat="false" ht="15" hidden="false" customHeight="false" outlineLevel="0" collapsed="false">
      <c r="A274" s="5" t="s">
        <v>155</v>
      </c>
      <c r="B274" s="5" t="s">
        <v>156</v>
      </c>
      <c r="C274" s="5" t="s">
        <v>176</v>
      </c>
      <c r="D274" s="5" t="s">
        <v>63</v>
      </c>
      <c r="E274" s="5" t="s">
        <v>177</v>
      </c>
      <c r="F274" s="5" t="s">
        <v>158</v>
      </c>
      <c r="G274" s="5" t="s">
        <v>205</v>
      </c>
      <c r="H274" s="5" t="s">
        <v>63</v>
      </c>
      <c r="I274" s="6" t="n">
        <v>3</v>
      </c>
      <c r="J274" s="6" t="n">
        <v>3</v>
      </c>
      <c r="K274" s="7" t="n">
        <f aca="false">IF(COUNT(I274:J274)=0,"",AVERAGE(I274:J274))</f>
        <v>3</v>
      </c>
      <c r="L274" s="5" t="s">
        <v>206</v>
      </c>
      <c r="M274" s="5"/>
      <c r="N274" s="8" t="s">
        <v>54</v>
      </c>
      <c r="O274" s="5" t="s">
        <v>247</v>
      </c>
    </row>
    <row r="275" customFormat="false" ht="15" hidden="false" customHeight="false" outlineLevel="0" collapsed="false">
      <c r="A275" s="5" t="s">
        <v>155</v>
      </c>
      <c r="B275" s="5" t="s">
        <v>156</v>
      </c>
      <c r="C275" s="5" t="s">
        <v>178</v>
      </c>
      <c r="D275" s="5" t="s">
        <v>63</v>
      </c>
      <c r="E275" s="5" t="s">
        <v>179</v>
      </c>
      <c r="F275" s="5" t="s">
        <v>158</v>
      </c>
      <c r="G275" s="5" t="s">
        <v>205</v>
      </c>
      <c r="H275" s="5" t="s">
        <v>63</v>
      </c>
      <c r="I275" s="6" t="n">
        <v>3</v>
      </c>
      <c r="J275" s="6" t="n">
        <v>3</v>
      </c>
      <c r="K275" s="7" t="n">
        <f aca="false">IF(COUNT(I275:J275)=0,"",AVERAGE(I275:J275))</f>
        <v>3</v>
      </c>
      <c r="L275" s="5" t="s">
        <v>206</v>
      </c>
      <c r="M275" s="5"/>
      <c r="N275" s="8" t="s">
        <v>54</v>
      </c>
      <c r="O275" s="5" t="s">
        <v>248</v>
      </c>
    </row>
    <row r="276" customFormat="false" ht="15" hidden="false" customHeight="false" outlineLevel="0" collapsed="false">
      <c r="A276" s="5" t="s">
        <v>155</v>
      </c>
      <c r="B276" s="5" t="s">
        <v>156</v>
      </c>
      <c r="C276" s="5" t="s">
        <v>157</v>
      </c>
      <c r="D276" s="5" t="s">
        <v>63</v>
      </c>
      <c r="E276" s="5" t="s">
        <v>117</v>
      </c>
      <c r="F276" s="5" t="s">
        <v>158</v>
      </c>
      <c r="G276" s="5" t="s">
        <v>188</v>
      </c>
      <c r="H276" s="5" t="s">
        <v>63</v>
      </c>
      <c r="I276" s="6" t="n">
        <v>1</v>
      </c>
      <c r="J276" s="6" t="n">
        <v>1</v>
      </c>
      <c r="K276" s="7" t="n">
        <f aca="false">IF(COUNT(I276:J276)=0,"",AVERAGE(I276:J276))</f>
        <v>1</v>
      </c>
      <c r="L276" s="5" t="s">
        <v>189</v>
      </c>
      <c r="M276" s="5"/>
      <c r="N276" s="8" t="s">
        <v>54</v>
      </c>
      <c r="O276" s="5"/>
    </row>
    <row r="277" customFormat="false" ht="15" hidden="false" customHeight="false" outlineLevel="0" collapsed="false">
      <c r="A277" s="5" t="s">
        <v>155</v>
      </c>
      <c r="B277" s="5" t="s">
        <v>156</v>
      </c>
      <c r="C277" s="5" t="s">
        <v>168</v>
      </c>
      <c r="D277" s="5" t="s">
        <v>63</v>
      </c>
      <c r="E277" s="5" t="s">
        <v>117</v>
      </c>
      <c r="F277" s="5" t="s">
        <v>158</v>
      </c>
      <c r="G277" s="5" t="s">
        <v>188</v>
      </c>
      <c r="H277" s="5" t="s">
        <v>63</v>
      </c>
      <c r="I277" s="6" t="n">
        <v>1</v>
      </c>
      <c r="J277" s="6" t="n">
        <v>1</v>
      </c>
      <c r="K277" s="7" t="n">
        <f aca="false">IF(COUNT(I277:J277)=0,"",AVERAGE(I277:J277))</f>
        <v>1</v>
      </c>
      <c r="L277" s="5" t="s">
        <v>189</v>
      </c>
      <c r="M277" s="5"/>
      <c r="N277" s="8" t="s">
        <v>54</v>
      </c>
      <c r="O277" s="5"/>
    </row>
    <row r="278" customFormat="false" ht="15" hidden="false" customHeight="false" outlineLevel="0" collapsed="false">
      <c r="A278" s="5" t="s">
        <v>155</v>
      </c>
      <c r="B278" s="5" t="s">
        <v>156</v>
      </c>
      <c r="C278" s="5" t="s">
        <v>170</v>
      </c>
      <c r="D278" s="5" t="s">
        <v>63</v>
      </c>
      <c r="E278" s="5" t="s">
        <v>117</v>
      </c>
      <c r="F278" s="5" t="s">
        <v>158</v>
      </c>
      <c r="G278" s="5" t="s">
        <v>188</v>
      </c>
      <c r="H278" s="5" t="s">
        <v>63</v>
      </c>
      <c r="I278" s="6" t="n">
        <v>2</v>
      </c>
      <c r="J278" s="6" t="n">
        <v>2</v>
      </c>
      <c r="K278" s="7" t="n">
        <f aca="false">IF(COUNT(I278:J278)=0,"",AVERAGE(I278:J278))</f>
        <v>2</v>
      </c>
      <c r="L278" s="5" t="s">
        <v>189</v>
      </c>
      <c r="M278" s="5"/>
      <c r="N278" s="8" t="s">
        <v>54</v>
      </c>
      <c r="O278" s="5"/>
    </row>
    <row r="279" customFormat="false" ht="15" hidden="false" customHeight="false" outlineLevel="0" collapsed="false">
      <c r="A279" s="5" t="s">
        <v>155</v>
      </c>
      <c r="B279" s="5" t="s">
        <v>156</v>
      </c>
      <c r="C279" s="5" t="s">
        <v>171</v>
      </c>
      <c r="D279" s="5" t="s">
        <v>63</v>
      </c>
      <c r="E279" s="5" t="s">
        <v>112</v>
      </c>
      <c r="F279" s="5" t="s">
        <v>158</v>
      </c>
      <c r="G279" s="5" t="s">
        <v>188</v>
      </c>
      <c r="H279" s="5" t="s">
        <v>63</v>
      </c>
      <c r="I279" s="6" t="n">
        <v>3</v>
      </c>
      <c r="J279" s="6" t="n">
        <v>3</v>
      </c>
      <c r="K279" s="7" t="n">
        <f aca="false">IF(COUNT(I279:J279)=0,"",AVERAGE(I279:J279))</f>
        <v>3</v>
      </c>
      <c r="L279" s="5" t="s">
        <v>189</v>
      </c>
      <c r="M279" s="5"/>
      <c r="N279" s="8" t="s">
        <v>54</v>
      </c>
      <c r="O279" s="5"/>
    </row>
    <row r="280" customFormat="false" ht="15" hidden="false" customHeight="false" outlineLevel="0" collapsed="false">
      <c r="A280" s="5" t="s">
        <v>155</v>
      </c>
      <c r="B280" s="5" t="s">
        <v>156</v>
      </c>
      <c r="C280" s="5" t="s">
        <v>172</v>
      </c>
      <c r="D280" s="5" t="s">
        <v>63</v>
      </c>
      <c r="E280" s="5" t="s">
        <v>112</v>
      </c>
      <c r="F280" s="5" t="s">
        <v>158</v>
      </c>
      <c r="G280" s="5" t="s">
        <v>188</v>
      </c>
      <c r="H280" s="5" t="s">
        <v>63</v>
      </c>
      <c r="I280" s="6" t="n">
        <v>3</v>
      </c>
      <c r="J280" s="6" t="n">
        <v>3</v>
      </c>
      <c r="K280" s="7" t="n">
        <f aca="false">IF(COUNT(I280:J280)=0,"",AVERAGE(I280:J280))</f>
        <v>3</v>
      </c>
      <c r="L280" s="5" t="s">
        <v>189</v>
      </c>
      <c r="M280" s="5"/>
      <c r="N280" s="8" t="s">
        <v>54</v>
      </c>
      <c r="O280" s="5"/>
    </row>
    <row r="281" customFormat="false" ht="15" hidden="false" customHeight="false" outlineLevel="0" collapsed="false">
      <c r="A281" s="5" t="s">
        <v>155</v>
      </c>
      <c r="B281" s="5" t="s">
        <v>156</v>
      </c>
      <c r="C281" s="5" t="s">
        <v>173</v>
      </c>
      <c r="D281" s="5" t="s">
        <v>63</v>
      </c>
      <c r="E281" s="5" t="s">
        <v>174</v>
      </c>
      <c r="F281" s="5" t="s">
        <v>158</v>
      </c>
      <c r="G281" s="5" t="s">
        <v>188</v>
      </c>
      <c r="H281" s="5" t="s">
        <v>63</v>
      </c>
      <c r="I281" s="6" t="n">
        <v>4</v>
      </c>
      <c r="J281" s="6" t="n">
        <v>4</v>
      </c>
      <c r="K281" s="7" t="n">
        <f aca="false">IF(COUNT(I281:J281)=0,"",AVERAGE(I281:J281))</f>
        <v>4</v>
      </c>
      <c r="L281" s="5" t="s">
        <v>189</v>
      </c>
      <c r="M281" s="5"/>
      <c r="N281" s="8" t="s">
        <v>54</v>
      </c>
      <c r="O281" s="5"/>
    </row>
    <row r="282" customFormat="false" ht="15" hidden="false" customHeight="false" outlineLevel="0" collapsed="false">
      <c r="A282" s="5" t="s">
        <v>155</v>
      </c>
      <c r="B282" s="5" t="s">
        <v>156</v>
      </c>
      <c r="C282" s="5" t="s">
        <v>176</v>
      </c>
      <c r="D282" s="5" t="s">
        <v>63</v>
      </c>
      <c r="E282" s="5" t="s">
        <v>177</v>
      </c>
      <c r="F282" s="5" t="s">
        <v>158</v>
      </c>
      <c r="G282" s="5" t="s">
        <v>188</v>
      </c>
      <c r="H282" s="5" t="s">
        <v>63</v>
      </c>
      <c r="I282" s="6" t="n">
        <v>2</v>
      </c>
      <c r="J282" s="6" t="n">
        <v>2</v>
      </c>
      <c r="K282" s="7" t="n">
        <f aca="false">IF(COUNT(I282:J282)=0,"",AVERAGE(I282:J282))</f>
        <v>2</v>
      </c>
      <c r="L282" s="5" t="s">
        <v>189</v>
      </c>
      <c r="M282" s="5"/>
      <c r="N282" s="8" t="s">
        <v>54</v>
      </c>
      <c r="O282" s="5"/>
    </row>
    <row r="283" customFormat="false" ht="15" hidden="false" customHeight="false" outlineLevel="0" collapsed="false">
      <c r="A283" s="5" t="s">
        <v>155</v>
      </c>
      <c r="B283" s="5" t="s">
        <v>156</v>
      </c>
      <c r="C283" s="5" t="s">
        <v>178</v>
      </c>
      <c r="D283" s="5" t="s">
        <v>63</v>
      </c>
      <c r="E283" s="5" t="s">
        <v>179</v>
      </c>
      <c r="F283" s="5" t="s">
        <v>158</v>
      </c>
      <c r="G283" s="5" t="s">
        <v>188</v>
      </c>
      <c r="H283" s="5" t="s">
        <v>63</v>
      </c>
      <c r="I283" s="6" t="n">
        <v>2</v>
      </c>
      <c r="J283" s="6" t="n">
        <v>2</v>
      </c>
      <c r="K283" s="7" t="n">
        <f aca="false">IF(COUNT(I283:J283)=0,"",AVERAGE(I283:J283))</f>
        <v>2</v>
      </c>
      <c r="L283" s="5" t="s">
        <v>189</v>
      </c>
      <c r="M283" s="5"/>
      <c r="N283" s="8" t="s">
        <v>54</v>
      </c>
      <c r="O283" s="5"/>
    </row>
  </sheetData>
  <autoFilter ref="A1:O28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4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62"/>
  </cols>
  <sheetData>
    <row r="1" customFormat="false" ht="26.85" hidden="false" customHeight="false" outlineLevel="0" collapsed="false">
      <c r="A1" s="4" t="s">
        <v>249</v>
      </c>
      <c r="B1" s="4" t="s">
        <v>250</v>
      </c>
      <c r="C1" s="4" t="s">
        <v>251</v>
      </c>
      <c r="D1" s="4" t="s">
        <v>252</v>
      </c>
      <c r="E1" s="4" t="s">
        <v>37</v>
      </c>
      <c r="F1" s="4" t="s">
        <v>253</v>
      </c>
      <c r="G1" s="4" t="s">
        <v>254</v>
      </c>
    </row>
    <row r="2" customFormat="false" ht="15" hidden="false" customHeight="false" outlineLevel="0" collapsed="false">
      <c r="A2" s="5" t="s">
        <v>255</v>
      </c>
      <c r="B2" s="5" t="s">
        <v>256</v>
      </c>
      <c r="C2" s="5" t="s">
        <v>257</v>
      </c>
      <c r="D2" s="5" t="s">
        <v>258</v>
      </c>
      <c r="E2" s="5" t="s">
        <v>63</v>
      </c>
      <c r="F2" s="5"/>
      <c r="G2" s="5" t="s">
        <v>259</v>
      </c>
    </row>
    <row r="3" customFormat="false" ht="15" hidden="false" customHeight="false" outlineLevel="0" collapsed="false">
      <c r="A3" s="5" t="s">
        <v>255</v>
      </c>
      <c r="B3" s="5" t="s">
        <v>51</v>
      </c>
      <c r="C3" s="5" t="s">
        <v>252</v>
      </c>
      <c r="D3" s="9" t="n">
        <v>17</v>
      </c>
      <c r="E3" s="5" t="s">
        <v>52</v>
      </c>
      <c r="F3" s="9" t="n">
        <v>0.2</v>
      </c>
      <c r="G3" s="5" t="s">
        <v>260</v>
      </c>
    </row>
    <row r="4" customFormat="false" ht="15" hidden="false" customHeight="false" outlineLevel="0" collapsed="false">
      <c r="A4" s="5" t="s">
        <v>255</v>
      </c>
      <c r="B4" s="5" t="s">
        <v>59</v>
      </c>
      <c r="C4" s="5" t="s">
        <v>261</v>
      </c>
      <c r="D4" s="5"/>
      <c r="E4" s="5" t="s">
        <v>57</v>
      </c>
      <c r="F4" s="9" t="n">
        <v>0.25</v>
      </c>
      <c r="G4" s="5" t="s">
        <v>262</v>
      </c>
    </row>
    <row r="5" customFormat="false" ht="15" hidden="false" customHeight="false" outlineLevel="0" collapsed="false">
      <c r="A5" s="5" t="s">
        <v>255</v>
      </c>
      <c r="B5" s="5" t="s">
        <v>56</v>
      </c>
      <c r="C5" s="5" t="s">
        <v>261</v>
      </c>
      <c r="D5" s="5"/>
      <c r="E5" s="5" t="s">
        <v>57</v>
      </c>
      <c r="F5" s="9" t="n">
        <v>0.1</v>
      </c>
      <c r="G5" s="5" t="s">
        <v>263</v>
      </c>
    </row>
    <row r="6" customFormat="false" ht="15" hidden="false" customHeight="false" outlineLevel="0" collapsed="false">
      <c r="A6" s="5" t="s">
        <v>255</v>
      </c>
      <c r="B6" s="5" t="s">
        <v>62</v>
      </c>
      <c r="C6" s="5" t="s">
        <v>261</v>
      </c>
      <c r="D6" s="5"/>
      <c r="E6" s="5" t="s">
        <v>63</v>
      </c>
      <c r="F6" s="9" t="n">
        <v>0.15</v>
      </c>
      <c r="G6" s="5" t="s">
        <v>264</v>
      </c>
    </row>
    <row r="7" customFormat="false" ht="15" hidden="false" customHeight="false" outlineLevel="0" collapsed="false">
      <c r="A7" s="5" t="s">
        <v>255</v>
      </c>
      <c r="B7" s="5" t="s">
        <v>60</v>
      </c>
      <c r="C7" s="5" t="s">
        <v>265</v>
      </c>
      <c r="D7" s="5"/>
      <c r="E7" s="5" t="s">
        <v>61</v>
      </c>
      <c r="F7" s="9" t="n">
        <v>0.05</v>
      </c>
      <c r="G7" s="5" t="s">
        <v>266</v>
      </c>
    </row>
    <row r="8" customFormat="false" ht="15" hidden="false" customHeight="false" outlineLevel="0" collapsed="false">
      <c r="A8" s="5" t="s">
        <v>255</v>
      </c>
      <c r="B8" s="5" t="s">
        <v>180</v>
      </c>
      <c r="C8" s="5" t="s">
        <v>261</v>
      </c>
      <c r="D8" s="5"/>
      <c r="E8" s="5" t="s">
        <v>63</v>
      </c>
      <c r="F8" s="9" t="n">
        <v>0.1</v>
      </c>
      <c r="G8" s="5" t="s">
        <v>267</v>
      </c>
    </row>
    <row r="9" customFormat="false" ht="15" hidden="false" customHeight="false" outlineLevel="0" collapsed="false">
      <c r="A9" s="5" t="s">
        <v>255</v>
      </c>
      <c r="B9" s="5" t="s">
        <v>188</v>
      </c>
      <c r="C9" s="5" t="s">
        <v>265</v>
      </c>
      <c r="D9" s="5"/>
      <c r="E9" s="5" t="s">
        <v>63</v>
      </c>
      <c r="F9" s="9" t="n">
        <v>0.05</v>
      </c>
      <c r="G9" s="5" t="s">
        <v>268</v>
      </c>
    </row>
    <row r="10" customFormat="false" ht="15" hidden="false" customHeight="false" outlineLevel="0" collapsed="false">
      <c r="A10" s="5" t="s">
        <v>255</v>
      </c>
      <c r="B10" s="5" t="s">
        <v>192</v>
      </c>
      <c r="C10" s="5" t="s">
        <v>261</v>
      </c>
      <c r="D10" s="5"/>
      <c r="E10" s="5" t="s">
        <v>63</v>
      </c>
      <c r="F10" s="9" t="n">
        <v>0.1</v>
      </c>
      <c r="G10" s="5" t="s">
        <v>269</v>
      </c>
    </row>
    <row r="11" customFormat="false" ht="15" hidden="false" customHeight="false" outlineLevel="0" collapsed="false">
      <c r="A11" s="5" t="s">
        <v>270</v>
      </c>
      <c r="B11" s="5" t="s">
        <v>91</v>
      </c>
      <c r="C11" s="5" t="s">
        <v>257</v>
      </c>
      <c r="D11" s="5" t="s">
        <v>271</v>
      </c>
      <c r="E11" s="5" t="s">
        <v>63</v>
      </c>
      <c r="F11" s="5"/>
      <c r="G11" s="5" t="s">
        <v>272</v>
      </c>
    </row>
    <row r="12" customFormat="false" ht="15" hidden="false" customHeight="false" outlineLevel="0" collapsed="false">
      <c r="A12" s="5" t="s">
        <v>270</v>
      </c>
      <c r="B12" s="5" t="s">
        <v>273</v>
      </c>
      <c r="C12" s="5" t="s">
        <v>257</v>
      </c>
      <c r="D12" s="5" t="s">
        <v>274</v>
      </c>
      <c r="E12" s="5" t="s">
        <v>63</v>
      </c>
      <c r="F12" s="5"/>
      <c r="G12" s="5" t="s">
        <v>275</v>
      </c>
    </row>
    <row r="13" customFormat="false" ht="15" hidden="false" customHeight="false" outlineLevel="0" collapsed="false">
      <c r="A13" s="5" t="s">
        <v>270</v>
      </c>
      <c r="B13" s="5" t="s">
        <v>84</v>
      </c>
      <c r="C13" s="5" t="s">
        <v>265</v>
      </c>
      <c r="D13" s="5"/>
      <c r="E13" s="5" t="s">
        <v>85</v>
      </c>
      <c r="F13" s="9" t="n">
        <v>0.35</v>
      </c>
      <c r="G13" s="5" t="s">
        <v>276</v>
      </c>
    </row>
    <row r="14" customFormat="false" ht="15" hidden="false" customHeight="false" outlineLevel="0" collapsed="false">
      <c r="A14" s="5" t="s">
        <v>270</v>
      </c>
      <c r="B14" s="5" t="s">
        <v>91</v>
      </c>
      <c r="C14" s="5" t="s">
        <v>261</v>
      </c>
      <c r="D14" s="5"/>
      <c r="E14" s="5" t="s">
        <v>63</v>
      </c>
      <c r="F14" s="9" t="n">
        <v>0.25</v>
      </c>
      <c r="G14" s="5" t="s">
        <v>277</v>
      </c>
    </row>
    <row r="15" customFormat="false" ht="15" hidden="false" customHeight="false" outlineLevel="0" collapsed="false">
      <c r="A15" s="5" t="s">
        <v>270</v>
      </c>
      <c r="B15" s="5" t="s">
        <v>88</v>
      </c>
      <c r="C15" s="5" t="s">
        <v>261</v>
      </c>
      <c r="D15" s="5"/>
      <c r="E15" s="5" t="s">
        <v>89</v>
      </c>
      <c r="F15" s="9" t="n">
        <v>0.05</v>
      </c>
      <c r="G15" s="5" t="s">
        <v>278</v>
      </c>
    </row>
    <row r="16" customFormat="false" ht="15" hidden="false" customHeight="false" outlineLevel="0" collapsed="false">
      <c r="A16" s="5" t="s">
        <v>270</v>
      </c>
      <c r="B16" s="5" t="s">
        <v>199</v>
      </c>
      <c r="C16" s="5" t="s">
        <v>261</v>
      </c>
      <c r="D16" s="5"/>
      <c r="E16" s="5" t="s">
        <v>63</v>
      </c>
      <c r="F16" s="9" t="n">
        <v>0.15</v>
      </c>
      <c r="G16" s="5" t="s">
        <v>279</v>
      </c>
    </row>
    <row r="17" customFormat="false" ht="15" hidden="false" customHeight="false" outlineLevel="0" collapsed="false">
      <c r="A17" s="5" t="s">
        <v>270</v>
      </c>
      <c r="B17" s="5" t="s">
        <v>205</v>
      </c>
      <c r="C17" s="5" t="s">
        <v>261</v>
      </c>
      <c r="D17" s="5"/>
      <c r="E17" s="5" t="s">
        <v>63</v>
      </c>
      <c r="F17" s="9" t="n">
        <v>0.05</v>
      </c>
      <c r="G17" s="5" t="s">
        <v>280</v>
      </c>
    </row>
    <row r="18" customFormat="false" ht="15" hidden="false" customHeight="false" outlineLevel="0" collapsed="false">
      <c r="A18" s="5" t="s">
        <v>270</v>
      </c>
      <c r="B18" s="5" t="s">
        <v>180</v>
      </c>
      <c r="C18" s="5" t="s">
        <v>261</v>
      </c>
      <c r="D18" s="5"/>
      <c r="E18" s="5" t="s">
        <v>63</v>
      </c>
      <c r="F18" s="9" t="n">
        <v>0.05</v>
      </c>
      <c r="G18" s="5"/>
    </row>
    <row r="19" customFormat="false" ht="15" hidden="false" customHeight="false" outlineLevel="0" collapsed="false">
      <c r="A19" s="5" t="s">
        <v>270</v>
      </c>
      <c r="B19" s="5" t="s">
        <v>188</v>
      </c>
      <c r="C19" s="5" t="s">
        <v>265</v>
      </c>
      <c r="D19" s="5"/>
      <c r="E19" s="5" t="s">
        <v>63</v>
      </c>
      <c r="F19" s="9" t="n">
        <v>0.1</v>
      </c>
      <c r="G19" s="5"/>
    </row>
    <row r="20" customFormat="false" ht="15" hidden="false" customHeight="false" outlineLevel="0" collapsed="false">
      <c r="A20" s="5" t="s">
        <v>101</v>
      </c>
      <c r="B20" s="5" t="s">
        <v>281</v>
      </c>
      <c r="C20" s="5" t="s">
        <v>257</v>
      </c>
      <c r="D20" s="5" t="s">
        <v>282</v>
      </c>
      <c r="E20" s="5" t="s">
        <v>63</v>
      </c>
      <c r="F20" s="5"/>
      <c r="G20" s="5" t="s">
        <v>283</v>
      </c>
    </row>
    <row r="21" customFormat="false" ht="15" hidden="false" customHeight="false" outlineLevel="0" collapsed="false">
      <c r="A21" s="5" t="s">
        <v>101</v>
      </c>
      <c r="B21" s="5" t="s">
        <v>51</v>
      </c>
      <c r="C21" s="5" t="s">
        <v>252</v>
      </c>
      <c r="D21" s="9" t="n">
        <v>15</v>
      </c>
      <c r="E21" s="5" t="s">
        <v>52</v>
      </c>
      <c r="F21" s="9" t="n">
        <v>0.2</v>
      </c>
      <c r="G21" s="5" t="s">
        <v>284</v>
      </c>
    </row>
    <row r="22" customFormat="false" ht="15" hidden="false" customHeight="false" outlineLevel="0" collapsed="false">
      <c r="A22" s="5" t="s">
        <v>101</v>
      </c>
      <c r="B22" s="5" t="s">
        <v>104</v>
      </c>
      <c r="C22" s="5" t="s">
        <v>261</v>
      </c>
      <c r="D22" s="5"/>
      <c r="E22" s="5" t="s">
        <v>105</v>
      </c>
      <c r="F22" s="9" t="n">
        <v>0.15</v>
      </c>
      <c r="G22" s="5" t="s">
        <v>285</v>
      </c>
    </row>
    <row r="23" customFormat="false" ht="15" hidden="false" customHeight="false" outlineLevel="0" collapsed="false">
      <c r="A23" s="5" t="s">
        <v>101</v>
      </c>
      <c r="B23" s="5" t="s">
        <v>107</v>
      </c>
      <c r="C23" s="5" t="s">
        <v>261</v>
      </c>
      <c r="D23" s="5"/>
      <c r="E23" s="5" t="s">
        <v>63</v>
      </c>
      <c r="F23" s="9" t="n">
        <v>0.25</v>
      </c>
      <c r="G23" s="5" t="s">
        <v>286</v>
      </c>
    </row>
    <row r="24" customFormat="false" ht="15" hidden="false" customHeight="false" outlineLevel="0" collapsed="false">
      <c r="A24" s="5" t="s">
        <v>101</v>
      </c>
      <c r="B24" s="5" t="s">
        <v>106</v>
      </c>
      <c r="C24" s="5" t="s">
        <v>261</v>
      </c>
      <c r="D24" s="5"/>
      <c r="E24" s="5" t="s">
        <v>63</v>
      </c>
      <c r="F24" s="9" t="n">
        <v>0.15</v>
      </c>
      <c r="G24" s="5" t="s">
        <v>287</v>
      </c>
    </row>
    <row r="25" customFormat="false" ht="15" hidden="false" customHeight="false" outlineLevel="0" collapsed="false">
      <c r="A25" s="5" t="s">
        <v>101</v>
      </c>
      <c r="B25" s="5" t="s">
        <v>60</v>
      </c>
      <c r="C25" s="5" t="s">
        <v>265</v>
      </c>
      <c r="D25" s="5"/>
      <c r="E25" s="5" t="s">
        <v>61</v>
      </c>
      <c r="F25" s="9" t="n">
        <v>0.05</v>
      </c>
      <c r="G25" s="5"/>
    </row>
    <row r="26" customFormat="false" ht="15" hidden="false" customHeight="false" outlineLevel="0" collapsed="false">
      <c r="A26" s="5" t="s">
        <v>101</v>
      </c>
      <c r="B26" s="5" t="s">
        <v>180</v>
      </c>
      <c r="C26" s="5" t="s">
        <v>261</v>
      </c>
      <c r="D26" s="5"/>
      <c r="E26" s="5" t="s">
        <v>63</v>
      </c>
      <c r="F26" s="9" t="n">
        <v>0.05</v>
      </c>
      <c r="G26" s="5"/>
    </row>
    <row r="27" customFormat="false" ht="15" hidden="false" customHeight="false" outlineLevel="0" collapsed="false">
      <c r="A27" s="5" t="s">
        <v>101</v>
      </c>
      <c r="B27" s="5" t="s">
        <v>188</v>
      </c>
      <c r="C27" s="5" t="s">
        <v>265</v>
      </c>
      <c r="D27" s="5"/>
      <c r="E27" s="5" t="s">
        <v>63</v>
      </c>
      <c r="F27" s="9" t="n">
        <v>0.1</v>
      </c>
      <c r="G27" s="5"/>
    </row>
    <row r="28" customFormat="false" ht="15" hidden="false" customHeight="false" outlineLevel="0" collapsed="false">
      <c r="A28" s="5" t="s">
        <v>101</v>
      </c>
      <c r="B28" s="5" t="s">
        <v>216</v>
      </c>
      <c r="C28" s="5" t="s">
        <v>261</v>
      </c>
      <c r="D28" s="5"/>
      <c r="E28" s="5" t="s">
        <v>63</v>
      </c>
      <c r="F28" s="9" t="n">
        <v>0.05</v>
      </c>
      <c r="G28" s="5"/>
    </row>
    <row r="29" customFormat="false" ht="15" hidden="false" customHeight="false" outlineLevel="0" collapsed="false">
      <c r="A29" s="5" t="s">
        <v>119</v>
      </c>
      <c r="B29" s="5" t="s">
        <v>288</v>
      </c>
      <c r="C29" s="5" t="s">
        <v>257</v>
      </c>
      <c r="D29" s="5" t="s">
        <v>289</v>
      </c>
      <c r="E29" s="5" t="s">
        <v>63</v>
      </c>
      <c r="F29" s="5"/>
      <c r="G29" s="5" t="s">
        <v>290</v>
      </c>
    </row>
    <row r="30" customFormat="false" ht="15" hidden="false" customHeight="false" outlineLevel="0" collapsed="false">
      <c r="A30" s="5" t="s">
        <v>119</v>
      </c>
      <c r="B30" s="5" t="s">
        <v>291</v>
      </c>
      <c r="C30" s="5" t="s">
        <v>265</v>
      </c>
      <c r="D30" s="5"/>
      <c r="E30" s="5" t="s">
        <v>63</v>
      </c>
      <c r="F30" s="9" t="n">
        <v>0.1</v>
      </c>
      <c r="G30" s="5" t="s">
        <v>292</v>
      </c>
    </row>
    <row r="31" customFormat="false" ht="15" hidden="false" customHeight="false" outlineLevel="0" collapsed="false">
      <c r="A31" s="5" t="s">
        <v>119</v>
      </c>
      <c r="B31" s="5" t="s">
        <v>126</v>
      </c>
      <c r="C31" s="5" t="s">
        <v>265</v>
      </c>
      <c r="D31" s="5"/>
      <c r="E31" s="5" t="s">
        <v>127</v>
      </c>
      <c r="F31" s="9" t="n">
        <v>0.2</v>
      </c>
      <c r="G31" s="5" t="s">
        <v>293</v>
      </c>
    </row>
    <row r="32" customFormat="false" ht="15" hidden="false" customHeight="false" outlineLevel="0" collapsed="false">
      <c r="A32" s="5" t="s">
        <v>119</v>
      </c>
      <c r="B32" s="5" t="s">
        <v>124</v>
      </c>
      <c r="C32" s="5" t="s">
        <v>261</v>
      </c>
      <c r="D32" s="5"/>
      <c r="E32" s="5" t="s">
        <v>125</v>
      </c>
      <c r="F32" s="9" t="n">
        <v>0.1</v>
      </c>
      <c r="G32" s="5" t="s">
        <v>294</v>
      </c>
    </row>
    <row r="33" customFormat="false" ht="15" hidden="false" customHeight="false" outlineLevel="0" collapsed="false">
      <c r="A33" s="5" t="s">
        <v>119</v>
      </c>
      <c r="B33" s="5" t="s">
        <v>58</v>
      </c>
      <c r="C33" s="5" t="s">
        <v>261</v>
      </c>
      <c r="D33" s="5"/>
      <c r="E33" s="5" t="s">
        <v>57</v>
      </c>
      <c r="F33" s="9" t="n">
        <v>0.1</v>
      </c>
      <c r="G33" s="5" t="s">
        <v>295</v>
      </c>
    </row>
    <row r="34" customFormat="false" ht="15" hidden="false" customHeight="false" outlineLevel="0" collapsed="false">
      <c r="A34" s="5" t="s">
        <v>119</v>
      </c>
      <c r="B34" s="5" t="s">
        <v>51</v>
      </c>
      <c r="C34" s="5" t="s">
        <v>261</v>
      </c>
      <c r="D34" s="5"/>
      <c r="E34" s="5" t="s">
        <v>52</v>
      </c>
      <c r="F34" s="9" t="n">
        <v>0.05</v>
      </c>
      <c r="G34" s="5" t="s">
        <v>296</v>
      </c>
    </row>
    <row r="35" customFormat="false" ht="15" hidden="false" customHeight="false" outlineLevel="0" collapsed="false">
      <c r="A35" s="5" t="s">
        <v>119</v>
      </c>
      <c r="B35" s="5" t="s">
        <v>225</v>
      </c>
      <c r="C35" s="5" t="s">
        <v>261</v>
      </c>
      <c r="D35" s="5"/>
      <c r="E35" s="5" t="s">
        <v>63</v>
      </c>
      <c r="F35" s="9" t="n">
        <v>0.1</v>
      </c>
      <c r="G35" s="5" t="s">
        <v>297</v>
      </c>
    </row>
    <row r="36" customFormat="false" ht="15" hidden="false" customHeight="false" outlineLevel="0" collapsed="false">
      <c r="A36" s="5" t="s">
        <v>119</v>
      </c>
      <c r="B36" s="5" t="s">
        <v>180</v>
      </c>
      <c r="C36" s="5" t="s">
        <v>261</v>
      </c>
      <c r="D36" s="5"/>
      <c r="E36" s="5" t="s">
        <v>63</v>
      </c>
      <c r="F36" s="9" t="n">
        <v>0.05</v>
      </c>
      <c r="G36" s="5" t="s">
        <v>298</v>
      </c>
    </row>
    <row r="37" customFormat="false" ht="15" hidden="false" customHeight="false" outlineLevel="0" collapsed="false">
      <c r="A37" s="5" t="s">
        <v>119</v>
      </c>
      <c r="B37" s="5" t="s">
        <v>205</v>
      </c>
      <c r="C37" s="5" t="s">
        <v>261</v>
      </c>
      <c r="D37" s="5"/>
      <c r="E37" s="5" t="s">
        <v>63</v>
      </c>
      <c r="F37" s="9" t="n">
        <v>0.05</v>
      </c>
      <c r="G37" s="5" t="s">
        <v>299</v>
      </c>
    </row>
    <row r="38" customFormat="false" ht="15" hidden="false" customHeight="false" outlineLevel="0" collapsed="false">
      <c r="A38" s="5" t="s">
        <v>119</v>
      </c>
      <c r="B38" s="5" t="s">
        <v>188</v>
      </c>
      <c r="C38" s="5" t="s">
        <v>265</v>
      </c>
      <c r="D38" s="5"/>
      <c r="E38" s="5" t="s">
        <v>63</v>
      </c>
      <c r="F38" s="9" t="n">
        <v>0.05</v>
      </c>
      <c r="G38" s="5"/>
    </row>
    <row r="39" customFormat="false" ht="15" hidden="false" customHeight="false" outlineLevel="0" collapsed="false">
      <c r="A39" s="5" t="s">
        <v>119</v>
      </c>
      <c r="B39" s="5" t="s">
        <v>192</v>
      </c>
      <c r="C39" s="5" t="s">
        <v>261</v>
      </c>
      <c r="D39" s="5"/>
      <c r="E39" s="5" t="s">
        <v>63</v>
      </c>
      <c r="F39" s="9" t="n">
        <v>0.05</v>
      </c>
      <c r="G39" s="5" t="s">
        <v>300</v>
      </c>
    </row>
    <row r="40" customFormat="false" ht="15" hidden="false" customHeight="false" outlineLevel="0" collapsed="false">
      <c r="A40" s="5" t="s">
        <v>119</v>
      </c>
      <c r="B40" s="5" t="s">
        <v>301</v>
      </c>
      <c r="C40" s="5" t="s">
        <v>252</v>
      </c>
      <c r="D40" s="9" t="n">
        <v>12</v>
      </c>
      <c r="E40" s="5" t="s">
        <v>129</v>
      </c>
      <c r="F40" s="9" t="n">
        <v>0.15</v>
      </c>
      <c r="G40" s="5" t="s">
        <v>302</v>
      </c>
    </row>
    <row r="41" customFormat="false" ht="15" hidden="false" customHeight="false" outlineLevel="0" collapsed="false">
      <c r="A41" s="5" t="s">
        <v>155</v>
      </c>
      <c r="B41" s="5" t="s">
        <v>159</v>
      </c>
      <c r="C41" s="5" t="s">
        <v>252</v>
      </c>
      <c r="D41" s="9" t="n">
        <v>7</v>
      </c>
      <c r="E41" s="5" t="s">
        <v>57</v>
      </c>
      <c r="F41" s="9" t="n">
        <v>0.15</v>
      </c>
      <c r="G41" s="5" t="s">
        <v>303</v>
      </c>
    </row>
    <row r="42" customFormat="false" ht="15" hidden="false" customHeight="false" outlineLevel="0" collapsed="false">
      <c r="A42" s="5" t="s">
        <v>155</v>
      </c>
      <c r="B42" s="5" t="s">
        <v>162</v>
      </c>
      <c r="C42" s="5" t="s">
        <v>252</v>
      </c>
      <c r="D42" s="9" t="n">
        <v>250</v>
      </c>
      <c r="E42" s="5" t="s">
        <v>57</v>
      </c>
      <c r="F42" s="9" t="n">
        <v>0.1</v>
      </c>
      <c r="G42" s="5" t="s">
        <v>304</v>
      </c>
    </row>
    <row r="43" customFormat="false" ht="15" hidden="false" customHeight="false" outlineLevel="0" collapsed="false">
      <c r="A43" s="5" t="s">
        <v>155</v>
      </c>
      <c r="B43" s="5" t="s">
        <v>163</v>
      </c>
      <c r="C43" s="5" t="s">
        <v>252</v>
      </c>
      <c r="D43" s="9" t="n">
        <v>70</v>
      </c>
      <c r="E43" s="5" t="s">
        <v>125</v>
      </c>
      <c r="F43" s="9" t="n">
        <v>0.15</v>
      </c>
      <c r="G43" s="5" t="s">
        <v>305</v>
      </c>
    </row>
    <row r="44" customFormat="false" ht="15" hidden="false" customHeight="false" outlineLevel="0" collapsed="false">
      <c r="A44" s="5" t="s">
        <v>155</v>
      </c>
      <c r="B44" s="5" t="s">
        <v>165</v>
      </c>
      <c r="C44" s="5" t="s">
        <v>252</v>
      </c>
      <c r="D44" s="9" t="n">
        <v>9</v>
      </c>
      <c r="E44" s="5" t="s">
        <v>129</v>
      </c>
      <c r="F44" s="9" t="n">
        <v>0.15</v>
      </c>
      <c r="G44" s="5" t="s">
        <v>306</v>
      </c>
    </row>
    <row r="45" customFormat="false" ht="15" hidden="false" customHeight="false" outlineLevel="0" collapsed="false">
      <c r="A45" s="5" t="s">
        <v>155</v>
      </c>
      <c r="B45" s="5" t="s">
        <v>166</v>
      </c>
      <c r="C45" s="5" t="s">
        <v>261</v>
      </c>
      <c r="D45" s="5"/>
      <c r="E45" s="5" t="s">
        <v>63</v>
      </c>
      <c r="F45" s="9" t="n">
        <v>0.15</v>
      </c>
      <c r="G45" s="5" t="s">
        <v>307</v>
      </c>
    </row>
    <row r="46" customFormat="false" ht="15" hidden="false" customHeight="false" outlineLevel="0" collapsed="false">
      <c r="A46" s="5" t="s">
        <v>155</v>
      </c>
      <c r="B46" s="5" t="s">
        <v>167</v>
      </c>
      <c r="C46" s="5" t="s">
        <v>261</v>
      </c>
      <c r="D46" s="5"/>
      <c r="E46" s="5" t="s">
        <v>63</v>
      </c>
      <c r="F46" s="9" t="n">
        <v>0.1</v>
      </c>
      <c r="G46" s="5" t="s">
        <v>308</v>
      </c>
    </row>
    <row r="47" customFormat="false" ht="15" hidden="false" customHeight="false" outlineLevel="0" collapsed="false">
      <c r="A47" s="5" t="s">
        <v>155</v>
      </c>
      <c r="B47" s="5" t="s">
        <v>205</v>
      </c>
      <c r="C47" s="5" t="s">
        <v>261</v>
      </c>
      <c r="D47" s="5"/>
      <c r="E47" s="5" t="s">
        <v>63</v>
      </c>
      <c r="F47" s="9" t="n">
        <v>0.1</v>
      </c>
      <c r="G47" s="5" t="s">
        <v>309</v>
      </c>
    </row>
    <row r="48" customFormat="false" ht="15" hidden="false" customHeight="false" outlineLevel="0" collapsed="false">
      <c r="A48" s="5" t="s">
        <v>155</v>
      </c>
      <c r="B48" s="5" t="s">
        <v>188</v>
      </c>
      <c r="C48" s="5" t="s">
        <v>265</v>
      </c>
      <c r="D48" s="5"/>
      <c r="E48" s="5" t="s">
        <v>63</v>
      </c>
      <c r="F48" s="9" t="n">
        <v>0.1</v>
      </c>
      <c r="G48" s="5"/>
    </row>
    <row r="50" customFormat="false" ht="15" hidden="false" customHeight="false" outlineLevel="0" collapsed="false">
      <c r="A50" s="10" t="s">
        <v>310</v>
      </c>
    </row>
    <row r="51" customFormat="false" ht="15" hidden="false" customHeight="false" outlineLevel="0" collapsed="false">
      <c r="A51" s="11" t="s">
        <v>255</v>
      </c>
      <c r="F51" s="11" t="n">
        <f aca="false">SUMIFS($F$2:$F$48,$A$2:$A$48,A51)</f>
        <v>1</v>
      </c>
    </row>
    <row r="52" customFormat="false" ht="15" hidden="false" customHeight="false" outlineLevel="0" collapsed="false">
      <c r="A52" s="11" t="s">
        <v>270</v>
      </c>
      <c r="F52" s="11" t="n">
        <f aca="false">SUMIFS($F$2:$F$48,$A$2:$A$48,A52)</f>
        <v>1</v>
      </c>
    </row>
    <row r="53" customFormat="false" ht="15" hidden="false" customHeight="false" outlineLevel="0" collapsed="false">
      <c r="A53" s="11" t="s">
        <v>101</v>
      </c>
      <c r="F53" s="11" t="n">
        <f aca="false">SUMIFS($F$2:$F$48,$A$2:$A$48,A53)</f>
        <v>1</v>
      </c>
    </row>
    <row r="54" customFormat="false" ht="15" hidden="false" customHeight="false" outlineLevel="0" collapsed="false">
      <c r="A54" s="11" t="s">
        <v>119</v>
      </c>
      <c r="F54" s="11" t="n">
        <f aca="false">SUMIFS($F$2:$F$48,$A$2:$A$48,A54)</f>
        <v>1</v>
      </c>
    </row>
    <row r="55" customFormat="false" ht="15" hidden="false" customHeight="false" outlineLevel="0" collapsed="false">
      <c r="A55" s="11" t="s">
        <v>155</v>
      </c>
      <c r="F55" s="11" t="n">
        <f aca="false">SUMIFS($F$2:$F$48,$A$2:$A$48,A55)</f>
        <v>1</v>
      </c>
    </row>
    <row r="57" customFormat="false" ht="15" hidden="false" customHeight="false" outlineLevel="0" collapsed="false">
      <c r="A57" s="10" t="s">
        <v>311</v>
      </c>
      <c r="F57" s="12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8"/>
  </cols>
  <sheetData>
    <row r="1" customFormat="false" ht="15" hidden="false" customHeight="false" outlineLevel="0" collapsed="false">
      <c r="A1" s="10" t="s">
        <v>312</v>
      </c>
      <c r="B1" s="10"/>
      <c r="C1" s="10"/>
      <c r="D1" s="10"/>
    </row>
    <row r="2" customFormat="false" ht="15" hidden="false" customHeight="false" outlineLevel="0" collapsed="false">
      <c r="A2" s="10" t="s">
        <v>32</v>
      </c>
      <c r="B2" s="10" t="s">
        <v>313</v>
      </c>
      <c r="C2" s="10" t="s">
        <v>314</v>
      </c>
      <c r="D2" s="10" t="s">
        <v>315</v>
      </c>
    </row>
    <row r="3" customFormat="false" ht="15" hidden="false" customHeight="false" outlineLevel="0" collapsed="false">
      <c r="A3" s="11" t="s">
        <v>47</v>
      </c>
      <c r="B3" s="11" t="n">
        <f aca="false">SUMIFS(Materiais!$K$2:$K$283,Materiais!$A$2:$A$283,"Stent vascular",Materiais!$C$2:$C$283,"Aço inox 316L",Materiais!$G$2:$G$283,"Tensão de cedência")</f>
        <v>272.5</v>
      </c>
      <c r="C3" s="11" t="n">
        <f aca="false">SUMIFS(Materiais!$K$2:$K$283,Materiais!$A$2:$A$283,"Stent vascular",Materiais!$C$2:$C$283,"Aço inox 316L",Materiais!$G$2:$G$283,"Módulo de Young")</f>
        <v>193</v>
      </c>
      <c r="D3" s="13" t="n">
        <f aca="false">IFERROR(B3/C3,"")</f>
        <v>1.4119170984456</v>
      </c>
    </row>
    <row r="4" customFormat="false" ht="15" hidden="false" customHeight="false" outlineLevel="0" collapsed="false">
      <c r="A4" s="11" t="s">
        <v>131</v>
      </c>
      <c r="B4" s="11" t="n">
        <f aca="false">SUMIFS(Materiais!$K$2:$K$283,Materiais!$A$2:$A$283,"Stent vascular",Materiais!$C$2:$C$283,"Co-Cr L605",Materiais!$G$2:$G$283,"Tensão de cedência")</f>
        <v>480</v>
      </c>
      <c r="C4" s="11" t="n">
        <f aca="false">SUMIFS(Materiais!$K$2:$K$283,Materiais!$A$2:$A$283,"Stent vascular",Materiais!$C$2:$C$283,"Co-Cr L605",Materiais!$G$2:$G$283,"Módulo de Young")</f>
        <v>243</v>
      </c>
      <c r="D4" s="13" t="n">
        <f aca="false">IFERROR(B4/C4,"")</f>
        <v>1.97530864197531</v>
      </c>
    </row>
    <row r="5" customFormat="false" ht="15" hidden="false" customHeight="false" outlineLevel="0" collapsed="false">
      <c r="A5" s="11" t="s">
        <v>134</v>
      </c>
      <c r="B5" s="11" t="n">
        <f aca="false">SUMIFS(Materiais!$K$2:$K$283,Materiais!$A$2:$A$283,"Stent vascular",Materiais!$C$2:$C$283,"Co-Ni-Cr-Mo MP35N",Materiais!$G$2:$G$283,"Tensão de cedência")</f>
        <v>412.5</v>
      </c>
      <c r="C5" s="11" t="n">
        <f aca="false">SUMIFS(Materiais!$K$2:$K$283,Materiais!$A$2:$A$283,"Stent vascular",Materiais!$C$2:$C$283,"Co-Ni-Cr-Mo MP35N",Materiais!$G$2:$G$283,"Módulo de Young")</f>
        <v>233</v>
      </c>
      <c r="D5" s="13" t="n">
        <f aca="false">IFERROR(B5/C5,"")</f>
        <v>1.77038626609442</v>
      </c>
    </row>
    <row r="6" customFormat="false" ht="15" hidden="false" customHeight="false" outlineLevel="0" collapsed="false">
      <c r="A6" s="11" t="s">
        <v>137</v>
      </c>
      <c r="B6" s="11" t="n">
        <f aca="false">SUMIFS(Materiais!$K$2:$K$283,Materiais!$A$2:$A$283,"Stent vascular",Materiais!$C$2:$C$283,"Pt-Cr",Materiais!$G$2:$G$283,"Tensão de cedência")</f>
        <v>480</v>
      </c>
      <c r="C6" s="11" t="n">
        <f aca="false">SUMIFS(Materiais!$K$2:$K$283,Materiais!$A$2:$A$283,"Stent vascular",Materiais!$C$2:$C$283,"Pt-Cr",Materiais!$G$2:$G$283,"Módulo de Young")</f>
        <v>203</v>
      </c>
      <c r="D6" s="13" t="n">
        <f aca="false">IFERROR(B6/C6,"")</f>
        <v>2.36453201970443</v>
      </c>
    </row>
    <row r="7" customFormat="false" ht="15" hidden="false" customHeight="false" outlineLevel="0" collapsed="false">
      <c r="A7" s="11" t="s">
        <v>139</v>
      </c>
      <c r="B7" s="11" t="n">
        <f aca="false">SUMIFS(Materiais!$K$2:$K$283,Materiais!$A$2:$A$283,"Stent vascular",Materiais!$C$2:$C$283,"Nitinol (autoexpansível)",Materiais!$G$2:$G$283,"Tensão de cedência")</f>
        <v>475</v>
      </c>
      <c r="C7" s="11" t="n">
        <f aca="false">SUMIFS(Materiais!$K$2:$K$283,Materiais!$A$2:$A$283,"Stent vascular",Materiais!$C$2:$C$283,"Nitinol (autoexpansível)",Materiais!$G$2:$G$283,"Módulo de Young")</f>
        <v>57.5</v>
      </c>
      <c r="D7" s="13" t="n">
        <f aca="false">IFERROR(B7/C7,"")</f>
        <v>8.26086956521739</v>
      </c>
    </row>
    <row r="8" customFormat="false" ht="15" hidden="false" customHeight="false" outlineLevel="0" collapsed="false">
      <c r="A8" s="11" t="s">
        <v>144</v>
      </c>
      <c r="B8" s="11" t="n">
        <f aca="false">SUMIFS(Materiais!$K$2:$K$283,Materiais!$A$2:$A$283,"Stent vascular",Materiais!$C$2:$C$283,"Liga de Mg WE43 (bioabsorvível)",Materiais!$G$2:$G$283,"Tensão de cedência")</f>
        <v>172.5</v>
      </c>
      <c r="C8" s="11" t="n">
        <f aca="false">SUMIFS(Materiais!$K$2:$K$283,Materiais!$A$2:$A$283,"Stent vascular",Materiais!$C$2:$C$283,"Liga de Mg WE43 (bioabsorvível)",Materiais!$G$2:$G$283,"Módulo de Young")</f>
        <v>44.5</v>
      </c>
      <c r="D8" s="13" t="n">
        <f aca="false">IFERROR(B8/C8,"")</f>
        <v>3.87640449438202</v>
      </c>
    </row>
    <row r="9" customFormat="false" ht="15" hidden="false" customHeight="false" outlineLevel="0" collapsed="false">
      <c r="A9" s="11" t="s">
        <v>150</v>
      </c>
      <c r="B9" s="11" t="n">
        <f aca="false">SUMIFS(Materiais!$K$2:$K$283,Materiais!$A$2:$A$283,"Stent vascular",Materiais!$C$2:$C$283,"PLLA (bioabsorvível)",Materiais!$G$2:$G$283,"Tensão de cedência")</f>
        <v>60</v>
      </c>
      <c r="C9" s="11" t="n">
        <f aca="false">SUMIFS(Materiais!$K$2:$K$283,Materiais!$A$2:$A$283,"Stent vascular",Materiais!$C$2:$C$283,"PLLA (bioabsorvível)",Materiais!$G$2:$G$283,"Módulo de Young")</f>
        <v>3.35</v>
      </c>
      <c r="D9" s="13" t="n">
        <f aca="false">IFERROR(B9/C9,"")</f>
        <v>17.910447761194</v>
      </c>
    </row>
    <row r="10" customFormat="false" ht="15" hidden="false" customHeight="false" outlineLevel="0" collapsed="false">
      <c r="A10" s="11"/>
      <c r="B10" s="11"/>
      <c r="C10" s="11"/>
      <c r="D10" s="11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0" t="s">
        <v>316</v>
      </c>
      <c r="B12" s="10"/>
      <c r="C12" s="10"/>
      <c r="D12" s="10"/>
    </row>
    <row r="13" customFormat="false" ht="15" hidden="false" customHeight="false" outlineLevel="0" collapsed="false">
      <c r="A13" s="11" t="s">
        <v>317</v>
      </c>
      <c r="B13" s="11" t="n">
        <f aca="false">AVERAGE(Tecido!D2:E2)</f>
        <v>17.5</v>
      </c>
      <c r="C13" s="11"/>
      <c r="D13" s="11"/>
    </row>
    <row r="14" customFormat="false" ht="15" hidden="false" customHeight="false" outlineLevel="0" collapsed="false">
      <c r="A14" s="10" t="s">
        <v>32</v>
      </c>
      <c r="B14" s="10" t="s">
        <v>314</v>
      </c>
      <c r="C14" s="10" t="s">
        <v>318</v>
      </c>
      <c r="D14" s="10"/>
    </row>
    <row r="15" customFormat="false" ht="15" hidden="false" customHeight="false" outlineLevel="0" collapsed="false">
      <c r="A15" s="11" t="s">
        <v>47</v>
      </c>
      <c r="B15" s="11" t="n">
        <f aca="false">SUMIFS(Materiais!$K$2:$K$283,Materiais!$A$2:$A$283,"Prótese da anca",Materiais!$C$2:$C$283,"Aço inox 316L",Materiais!$G$2:$G$283,"Módulo de Young")</f>
        <v>195</v>
      </c>
      <c r="C15" s="14" t="n">
        <f aca="false">IFERROR(B15/$B$13,"")</f>
        <v>11.1428571428571</v>
      </c>
      <c r="D15" s="11"/>
    </row>
    <row r="16" customFormat="false" ht="15" hidden="false" customHeight="false" outlineLevel="0" collapsed="false">
      <c r="A16" s="11" t="s">
        <v>65</v>
      </c>
      <c r="B16" s="11" t="n">
        <f aca="false">SUMIFS(Materiais!$K$2:$K$283,Materiais!$A$2:$A$283,"Prótese da anca",Materiais!$C$2:$C$283,"Co-Cr-Mo forjado",Materiais!$G$2:$G$283,"Módulo de Young")</f>
        <v>225</v>
      </c>
      <c r="C16" s="14" t="n">
        <f aca="false">IFERROR(B16/$B$13,"")</f>
        <v>12.8571428571429</v>
      </c>
      <c r="D16" s="11"/>
    </row>
    <row r="17" customFormat="false" ht="15" hidden="false" customHeight="false" outlineLevel="0" collapsed="false">
      <c r="A17" s="11" t="s">
        <v>68</v>
      </c>
      <c r="B17" s="11" t="n">
        <f aca="false">SUMIFS(Materiais!$K$2:$K$283,Materiais!$A$2:$A$283,"Prótese da anca",Materiais!$C$2:$C$283,"Ti-6Al-4V ELI",Materiais!$G$2:$G$283,"Módulo de Young")</f>
        <v>112</v>
      </c>
      <c r="C17" s="14" t="n">
        <f aca="false">IFERROR(B17/$B$13,"")</f>
        <v>6.4</v>
      </c>
      <c r="D17" s="11"/>
    </row>
    <row r="18" customFormat="false" ht="15" hidden="false" customHeight="false" outlineLevel="0" collapsed="false">
      <c r="A18" s="11" t="s">
        <v>70</v>
      </c>
      <c r="B18" s="11" t="n">
        <f aca="false">SUMIFS(Materiais!$K$2:$K$283,Materiais!$A$2:$A$283,"Prótese da anca",Materiais!$C$2:$C$283,"Ti cp grau 4",Materiais!$G$2:$G$283,"Módulo de Young")</f>
        <v>106.5</v>
      </c>
      <c r="C18" s="14" t="n">
        <f aca="false">IFERROR(B18/$B$13,"")</f>
        <v>6.08571428571429</v>
      </c>
      <c r="D18" s="11"/>
    </row>
    <row r="19" customFormat="false" ht="15" hidden="false" customHeight="false" outlineLevel="0" collapsed="false">
      <c r="A19" s="11" t="s">
        <v>73</v>
      </c>
      <c r="B19" s="11" t="n">
        <f aca="false">SUMIFS(Materiais!$K$2:$K$283,Materiais!$A$2:$A$283,"Prótese da anca",Materiais!$C$2:$C$283,"Ti-13Nb-13Zr",Materiais!$G$2:$G$283,"Módulo de Young")</f>
        <v>81.5</v>
      </c>
      <c r="C19" s="14" t="n">
        <f aca="false">IFERROR(B19/$B$13,"")</f>
        <v>4.65714285714286</v>
      </c>
      <c r="D19" s="11"/>
    </row>
    <row r="20" customFormat="false" ht="15" hidden="false" customHeight="false" outlineLevel="0" collapsed="false">
      <c r="A20" s="11" t="s">
        <v>78</v>
      </c>
      <c r="B20" s="11" t="n">
        <f aca="false">SUMIFS(Materiais!$K$2:$K$283,Materiais!$A$2:$A$283,"Prótese da anca",Materiais!$C$2:$C$283,"Ti-35Nb-7Zr-5Ta (TNZT)",Materiais!$G$2:$G$283,"Módulo de Young")</f>
        <v>60.5</v>
      </c>
      <c r="C20" s="14" t="n">
        <f aca="false">IFERROR(B20/$B$13,"")</f>
        <v>3.45714285714286</v>
      </c>
      <c r="D20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8"/>
    <col collapsed="false" customWidth="true" hidden="false" outlineLevel="0" max="3" min="3" style="0" width="26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15" t="s">
        <v>319</v>
      </c>
      <c r="B1" s="15" t="s">
        <v>320</v>
      </c>
      <c r="C1" s="15" t="s">
        <v>321</v>
      </c>
      <c r="D1" s="15" t="s">
        <v>322</v>
      </c>
    </row>
    <row r="2" customFormat="false" ht="15" hidden="false" customHeight="false" outlineLevel="0" collapsed="false">
      <c r="A2" s="16" t="s">
        <v>323</v>
      </c>
      <c r="B2" s="16" t="s">
        <v>324</v>
      </c>
      <c r="C2" s="16" t="s">
        <v>325</v>
      </c>
      <c r="D2" s="16" t="s">
        <v>326</v>
      </c>
    </row>
    <row r="3" customFormat="false" ht="15" hidden="false" customHeight="false" outlineLevel="0" collapsed="false">
      <c r="A3" s="16" t="s">
        <v>327</v>
      </c>
      <c r="B3" s="16" t="s">
        <v>328</v>
      </c>
      <c r="C3" s="16" t="s">
        <v>325</v>
      </c>
      <c r="D3" s="16" t="s">
        <v>329</v>
      </c>
    </row>
    <row r="4" customFormat="false" ht="15" hidden="false" customHeight="false" outlineLevel="0" collapsed="false">
      <c r="A4" s="16" t="s">
        <v>330</v>
      </c>
      <c r="B4" s="16" t="s">
        <v>331</v>
      </c>
      <c r="C4" s="16" t="s">
        <v>332</v>
      </c>
      <c r="D4" s="16" t="s">
        <v>333</v>
      </c>
    </row>
    <row r="5" customFormat="false" ht="15" hidden="false" customHeight="false" outlineLevel="0" collapsed="false">
      <c r="A5" s="16" t="s">
        <v>334</v>
      </c>
      <c r="B5" s="16" t="s">
        <v>335</v>
      </c>
      <c r="C5" s="16" t="s">
        <v>336</v>
      </c>
      <c r="D5" s="16" t="s">
        <v>337</v>
      </c>
    </row>
    <row r="6" customFormat="false" ht="15" hidden="false" customHeight="false" outlineLevel="0" collapsed="false">
      <c r="A6" s="16" t="s">
        <v>338</v>
      </c>
      <c r="B6" s="16" t="s">
        <v>339</v>
      </c>
      <c r="C6" s="16" t="s">
        <v>336</v>
      </c>
      <c r="D6" s="16" t="s">
        <v>340</v>
      </c>
    </row>
    <row r="7" customFormat="false" ht="15" hidden="false" customHeight="false" outlineLevel="0" collapsed="false">
      <c r="A7" s="16" t="s">
        <v>341</v>
      </c>
      <c r="B7" s="16" t="s">
        <v>342</v>
      </c>
      <c r="C7" s="16" t="s">
        <v>336</v>
      </c>
      <c r="D7" s="16" t="s">
        <v>343</v>
      </c>
    </row>
    <row r="8" customFormat="false" ht="26.85" hidden="false" customHeight="false" outlineLevel="0" collapsed="false">
      <c r="A8" s="16" t="s">
        <v>344</v>
      </c>
      <c r="B8" s="16" t="s">
        <v>345</v>
      </c>
      <c r="C8" s="16" t="s">
        <v>346</v>
      </c>
      <c r="D8" s="16" t="s">
        <v>347</v>
      </c>
    </row>
    <row r="9" customFormat="false" ht="15" hidden="false" customHeight="false" outlineLevel="0" collapsed="false">
      <c r="A9" s="16" t="s">
        <v>348</v>
      </c>
      <c r="B9" s="16" t="s">
        <v>349</v>
      </c>
      <c r="C9" s="16" t="s">
        <v>350</v>
      </c>
      <c r="D9" s="16" t="s">
        <v>351</v>
      </c>
    </row>
    <row r="10" customFormat="false" ht="15" hidden="false" customHeight="false" outlineLevel="0" collapsed="false">
      <c r="A10" s="16" t="s">
        <v>352</v>
      </c>
      <c r="B10" s="16" t="s">
        <v>353</v>
      </c>
      <c r="C10" s="16" t="s">
        <v>336</v>
      </c>
      <c r="D10" s="16" t="s">
        <v>354</v>
      </c>
    </row>
    <row r="12" customFormat="false" ht="15" hidden="false" customHeight="false" outlineLevel="0" collapsed="false">
      <c r="A12" s="10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48"/>
  </cols>
  <sheetData>
    <row r="1" customFormat="false" ht="15" hidden="false" customHeight="false" outlineLevel="0" collapsed="false">
      <c r="A1" s="4" t="s">
        <v>356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44</v>
      </c>
    </row>
    <row r="2" customFormat="false" ht="15" hidden="false" customHeight="false" outlineLevel="0" collapsed="false">
      <c r="A2" s="11" t="s">
        <v>357</v>
      </c>
      <c r="B2" s="11" t="s">
        <v>51</v>
      </c>
      <c r="C2" s="11" t="s">
        <v>52</v>
      </c>
      <c r="D2" s="17" t="n">
        <v>15</v>
      </c>
      <c r="E2" s="17" t="n">
        <v>20</v>
      </c>
      <c r="F2" s="11" t="s">
        <v>358</v>
      </c>
    </row>
    <row r="3" customFormat="false" ht="15" hidden="false" customHeight="false" outlineLevel="0" collapsed="false">
      <c r="A3" s="11" t="s">
        <v>357</v>
      </c>
      <c r="B3" s="11" t="s">
        <v>58</v>
      </c>
      <c r="C3" s="11" t="s">
        <v>57</v>
      </c>
      <c r="D3" s="17" t="n">
        <v>50</v>
      </c>
      <c r="E3" s="17" t="n">
        <v>150</v>
      </c>
      <c r="F3" s="11"/>
    </row>
    <row r="4" customFormat="false" ht="15" hidden="false" customHeight="false" outlineLevel="0" collapsed="false">
      <c r="A4" s="11" t="s">
        <v>357</v>
      </c>
      <c r="B4" s="11" t="s">
        <v>359</v>
      </c>
      <c r="C4" s="11" t="s">
        <v>57</v>
      </c>
      <c r="D4" s="17" t="n">
        <v>130</v>
      </c>
      <c r="E4" s="17" t="n">
        <v>220</v>
      </c>
      <c r="F4" s="11"/>
    </row>
    <row r="5" customFormat="false" ht="15" hidden="false" customHeight="false" outlineLevel="0" collapsed="false">
      <c r="A5" s="11" t="s">
        <v>357</v>
      </c>
      <c r="B5" s="11" t="s">
        <v>60</v>
      </c>
      <c r="C5" s="11" t="s">
        <v>61</v>
      </c>
      <c r="D5" s="17" t="n">
        <v>1.8</v>
      </c>
      <c r="E5" s="17" t="n">
        <v>2.1</v>
      </c>
      <c r="F5" s="11"/>
    </row>
    <row r="6" customFormat="false" ht="15" hidden="false" customHeight="false" outlineLevel="0" collapsed="false">
      <c r="A6" s="11" t="s">
        <v>360</v>
      </c>
      <c r="B6" s="11" t="s">
        <v>51</v>
      </c>
      <c r="C6" s="11" t="s">
        <v>57</v>
      </c>
      <c r="D6" s="17" t="n">
        <v>50</v>
      </c>
      <c r="E6" s="17" t="n">
        <v>500</v>
      </c>
      <c r="F6" s="11" t="s">
        <v>361</v>
      </c>
    </row>
    <row r="7" customFormat="false" ht="15" hidden="false" customHeight="false" outlineLevel="0" collapsed="false">
      <c r="A7" s="11" t="s">
        <v>360</v>
      </c>
      <c r="B7" s="11" t="s">
        <v>359</v>
      </c>
      <c r="C7" s="11" t="s">
        <v>57</v>
      </c>
      <c r="D7" s="17" t="n">
        <v>2</v>
      </c>
      <c r="E7" s="17" t="n">
        <v>12</v>
      </c>
      <c r="F7" s="11"/>
    </row>
    <row r="8" customFormat="false" ht="15" hidden="false" customHeight="false" outlineLevel="0" collapsed="false">
      <c r="A8" s="11" t="s">
        <v>360</v>
      </c>
      <c r="B8" s="11" t="s">
        <v>163</v>
      </c>
      <c r="C8" s="11" t="s">
        <v>125</v>
      </c>
      <c r="D8" s="17" t="n">
        <v>50</v>
      </c>
      <c r="E8" s="17" t="n">
        <v>90</v>
      </c>
      <c r="F8" s="11"/>
    </row>
    <row r="9" customFormat="false" ht="15" hidden="false" customHeight="false" outlineLevel="0" collapsed="false">
      <c r="A9" s="11" t="s">
        <v>362</v>
      </c>
      <c r="B9" s="11" t="s">
        <v>51</v>
      </c>
      <c r="C9" s="11" t="s">
        <v>52</v>
      </c>
      <c r="D9" s="17" t="n">
        <v>10</v>
      </c>
      <c r="E9" s="17" t="n">
        <v>20</v>
      </c>
      <c r="F9" s="11" t="s">
        <v>363</v>
      </c>
    </row>
    <row r="11" customFormat="false" ht="15" hidden="false" customHeight="false" outlineLevel="0" collapsed="false">
      <c r="A11" s="18" t="s">
        <v>364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2026-09-24T12:51:04Z</dcterms:created>
  <dc:creator>openpyxl</dc:creator>
  <dc:description/>
  <dc:language>en-US</dc:language>
  <cp:lastModifiedBy/>
  <dcterms:modified xsi:type="dcterms:W3CDTF">2026-09-24T12:51:04Z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